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CF" sheetId="1" state="visible" r:id="rId3"/>
    <sheet name="Analysis" sheetId="2" state="visible" r:id="rId4"/>
    <sheet name="Results" sheetId="3" state="visible" r:id="rId5"/>
    <sheet name="Midpoint" sheetId="4" state="visible" r:id="rId6"/>
    <sheet name="Endpoint" sheetId="5" state="visible" r:id="rId7"/>
    <sheet name="100%-Conv." sheetId="6" state="visible" r:id="rId8"/>
    <sheet name="100%-P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<sst xmlns="http://schemas.openxmlformats.org/spreadsheetml/2006/main" count="550" uniqueCount="170">
  <si>
    <t xml:space="preserve">No.</t>
  </si>
  <si>
    <t xml:space="preserve">Name</t>
  </si>
  <si>
    <t xml:space="preserve">Unit</t>
  </si>
  <si>
    <t xml:space="preserve">Atomic mass</t>
  </si>
  <si>
    <t xml:space="preserve">Method</t>
  </si>
  <si>
    <t xml:space="preserve">ReciPe (H) V1.13 / World ReCiPe H/A</t>
  </si>
  <si>
    <t xml:space="preserve">Endpoint (H) Global</t>
  </si>
  <si>
    <t xml:space="preserve">Midpoint LCIA result per unit</t>
  </si>
  <si>
    <t xml:space="preserve">Normalized midpoint </t>
  </si>
  <si>
    <t xml:space="preserve">Endpoint pathway result per unit</t>
  </si>
  <si>
    <t xml:space="preserve">Damage result per unit</t>
  </si>
  <si>
    <t xml:space="preserve">Normalized endpoint result per unit</t>
  </si>
  <si>
    <t xml:space="preserve">Weighted result per unit</t>
  </si>
  <si>
    <t xml:space="preserve"> g/mol</t>
  </si>
  <si>
    <t xml:space="preserve">Secondary data</t>
  </si>
  <si>
    <t xml:space="preserve">Global warming</t>
  </si>
  <si>
    <t xml:space="preserve">Stratospheric ozone depletion</t>
  </si>
  <si>
    <t xml:space="preserve">Ionizing radiation</t>
  </si>
  <si>
    <t xml:space="preserve">Ozone formation, Human health</t>
  </si>
  <si>
    <t xml:space="preserve">Fine particulate matter formation</t>
  </si>
  <si>
    <t xml:space="preserve">Ozone formation, Terrestrial ecosystems</t>
  </si>
  <si>
    <t xml:space="preserve">Terrestrial acidification</t>
  </si>
  <si>
    <t xml:space="preserve">Freshwater eutrophication</t>
  </si>
  <si>
    <t xml:space="preserve">Marine eutrophication</t>
  </si>
  <si>
    <t xml:space="preserve">Terrestrial ecotoxicity</t>
  </si>
  <si>
    <t xml:space="preserve">Freshwater ecotoxicity</t>
  </si>
  <si>
    <t xml:space="preserve">Marine ecotoxicity</t>
  </si>
  <si>
    <t xml:space="preserve">Human carcinogenic toxicity</t>
  </si>
  <si>
    <t xml:space="preserve">Human non-carcinogenic toxicity</t>
  </si>
  <si>
    <t xml:space="preserve">Land use</t>
  </si>
  <si>
    <t xml:space="preserve">Mineral resource scarcity</t>
  </si>
  <si>
    <t xml:space="preserve">Fossil resource scarcity</t>
  </si>
  <si>
    <t xml:space="preserve">Water consumption</t>
  </si>
  <si>
    <t xml:space="preserve">Global warming, Human health</t>
  </si>
  <si>
    <t xml:space="preserve">Global warming, Terrestrial ecosystems</t>
  </si>
  <si>
    <t xml:space="preserve">Global warming, Freshwater ecosystems</t>
  </si>
  <si>
    <t xml:space="preserve">Water consumption, Human health</t>
  </si>
  <si>
    <t xml:space="preserve">Water consumption, Terrestrial ecosystems</t>
  </si>
  <si>
    <t xml:space="preserve">Water consumption, Aquatic ecosystems</t>
  </si>
  <si>
    <t xml:space="preserve">Human Health</t>
  </si>
  <si>
    <t xml:space="preserve">Ecosystems</t>
  </si>
  <si>
    <t xml:space="preserve">Resources</t>
  </si>
  <si>
    <t xml:space="preserve">HH</t>
  </si>
  <si>
    <t xml:space="preserve">ES</t>
  </si>
  <si>
    <t xml:space="preserve">RS</t>
  </si>
  <si>
    <t xml:space="preserve">Abbrs.</t>
  </si>
  <si>
    <t xml:space="preserve">GWP</t>
  </si>
  <si>
    <t xml:space="preserve">SOD</t>
  </si>
  <si>
    <t xml:space="preserve">IR</t>
  </si>
  <si>
    <t xml:space="preserve">OF-HH</t>
  </si>
  <si>
    <t xml:space="preserve">FPMF</t>
  </si>
  <si>
    <t xml:space="preserve">OF-TE</t>
  </si>
  <si>
    <t xml:space="preserve">TA</t>
  </si>
  <si>
    <t xml:space="preserve">FE</t>
  </si>
  <si>
    <t xml:space="preserve">ME</t>
  </si>
  <si>
    <t xml:space="preserve">TET</t>
  </si>
  <si>
    <t xml:space="preserve">FET</t>
  </si>
  <si>
    <t xml:space="preserve">MET</t>
  </si>
  <si>
    <t xml:space="preserve">HCT</t>
  </si>
  <si>
    <t xml:space="preserve">HNT</t>
  </si>
  <si>
    <t xml:space="preserve">LU</t>
  </si>
  <si>
    <t xml:space="preserve">MRS</t>
  </si>
  <si>
    <t xml:space="preserve">FRS</t>
  </si>
  <si>
    <t xml:space="preserve">WC</t>
  </si>
  <si>
    <t xml:space="preserve">GW-HH</t>
  </si>
  <si>
    <t xml:space="preserve">GW-TE</t>
  </si>
  <si>
    <t xml:space="preserve">GW-FE</t>
  </si>
  <si>
    <t xml:space="preserve">SOD-HH</t>
  </si>
  <si>
    <t xml:space="preserve">IR-HH</t>
  </si>
  <si>
    <t xml:space="preserve">FPMF-HH</t>
  </si>
  <si>
    <t xml:space="preserve">TA-TE</t>
  </si>
  <si>
    <t xml:space="preserve">FE-FE</t>
  </si>
  <si>
    <t xml:space="preserve">HCT-HH</t>
  </si>
  <si>
    <t xml:space="preserve">HNT-HH</t>
  </si>
  <si>
    <t xml:space="preserve">LU-TE</t>
  </si>
  <si>
    <t xml:space="preserve">MRS-R</t>
  </si>
  <si>
    <t xml:space="preserve">FRS-R</t>
  </si>
  <si>
    <t xml:space="preserve">WC-HH</t>
  </si>
  <si>
    <t xml:space="preserve">WC-TE</t>
  </si>
  <si>
    <t xml:space="preserve">WC-AE</t>
  </si>
  <si>
    <t xml:space="preserve">DALY</t>
  </si>
  <si>
    <t xml:space="preserve">species.yr</t>
  </si>
  <si>
    <t xml:space="preserve">USD2013</t>
  </si>
  <si>
    <t xml:space="preserve">DALY/person/year</t>
  </si>
  <si>
    <t xml:space="preserve">species⋅yr/person/year</t>
  </si>
  <si>
    <t xml:space="preserve">USD2013/person/year</t>
  </si>
  <si>
    <t xml:space="preserve">mPt</t>
  </si>
  <si>
    <t xml:space="preserve">Ecoinvent 3 - allocation</t>
  </si>
  <si>
    <t xml:space="preserve">kg CO2 eq</t>
  </si>
  <si>
    <t xml:space="preserve">kg CFC-11 eq</t>
  </si>
  <si>
    <t xml:space="preserve">kBq Co-60 eq</t>
  </si>
  <si>
    <t xml:space="preserve">kg NOx eq</t>
  </si>
  <si>
    <t xml:space="preserve">kg PM2.5 eq</t>
  </si>
  <si>
    <t xml:space="preserve">kg SO2 eq</t>
  </si>
  <si>
    <t xml:space="preserve">kg P eq</t>
  </si>
  <si>
    <t xml:space="preserve">kg N eq</t>
  </si>
  <si>
    <t xml:space="preserve">kg 1,4-DCB</t>
  </si>
  <si>
    <t xml:space="preserve">m2 x yr crop eq</t>
  </si>
  <si>
    <t xml:space="preserve">kg Cu eq</t>
  </si>
  <si>
    <t xml:space="preserve">kg oil eq</t>
  </si>
  <si>
    <t xml:space="preserve">m3</t>
  </si>
  <si>
    <t xml:space="preserve">kg CO2 eq/person/year</t>
  </si>
  <si>
    <t xml:space="preserve">kg CFC-11 eq/person/year</t>
  </si>
  <si>
    <t xml:space="preserve">kBq Co-60 eq/person/year</t>
  </si>
  <si>
    <t xml:space="preserve">kg NOx eq/person/year</t>
  </si>
  <si>
    <t xml:space="preserve">kg PM2.5 eq/person/year</t>
  </si>
  <si>
    <t xml:space="preserve">kg SO2 eq/person/year</t>
  </si>
  <si>
    <t xml:space="preserve">kg P eq/person/year</t>
  </si>
  <si>
    <t xml:space="preserve">kg N eq/person/year</t>
  </si>
  <si>
    <t xml:space="preserve">kg 1,4-DCB/person/year</t>
  </si>
  <si>
    <t xml:space="preserve">m2 x yr crop eq/person/year</t>
  </si>
  <si>
    <t xml:space="preserve">kg Cu eq/person/year</t>
  </si>
  <si>
    <t xml:space="preserve">kg oil eq/person/year</t>
  </si>
  <si>
    <t xml:space="preserve">m3/person/year</t>
  </si>
  <si>
    <t xml:space="preserve">DALY/(kg CO₂ eq)</t>
  </si>
  <si>
    <t xml:space="preserve">species·yr/(kg CO₂ eq)</t>
  </si>
  <si>
    <t xml:space="preserve">DALY/(kg CFC-11 eq)</t>
  </si>
  <si>
    <t xml:space="preserve">DALY/(kBq Co-60 eq)</t>
  </si>
  <si>
    <t xml:space="preserve">DALY/(kg NOₓ eq)</t>
  </si>
  <si>
    <t xml:space="preserve">DALY/(kg PM2.5 eq)</t>
  </si>
  <si>
    <t xml:space="preserve">species·yr/(kg NOₓ eq)</t>
  </si>
  <si>
    <t xml:space="preserve">species·yr/(kg SO₂ eq)</t>
  </si>
  <si>
    <t xml:space="preserve">species·yr/(kg P eq)</t>
  </si>
  <si>
    <t xml:space="preserve">species·yr/(kg N eq)</t>
  </si>
  <si>
    <t xml:space="preserve">species·yr/(kg 1,4-DCB)</t>
  </si>
  <si>
    <t xml:space="preserve">DALY/(kg 1,4-DCB)</t>
  </si>
  <si>
    <t xml:space="preserve">species·yr/(m²·a crop eq)</t>
  </si>
  <si>
    <t xml:space="preserve">USD2013/(kg Cu eq)</t>
  </si>
  <si>
    <t xml:space="preserve">USD2013/(kg oil eq)</t>
  </si>
  <si>
    <t xml:space="preserve">DALY/m³</t>
  </si>
  <si>
    <t xml:space="preserve">species·yr/m³</t>
  </si>
  <si>
    <t xml:space="preserve">Electricity</t>
  </si>
  <si>
    <t xml:space="preserve">kWh</t>
  </si>
  <si>
    <t xml:space="preserve">Electricity,low voltage {TH}| electricity production,Cut-off, S</t>
  </si>
  <si>
    <t xml:space="preserve">Electricity, low voltage [TH]</t>
  </si>
  <si>
    <t xml:space="preserve">photovoltaic 3kWp on roof</t>
  </si>
  <si>
    <t xml:space="preserve">Titanium dioxide</t>
  </si>
  <si>
    <t xml:space="preserve">kg</t>
  </si>
  <si>
    <t xml:space="preserve">TiO2</t>
  </si>
  <si>
    <t xml:space="preserve">Titanium dioxide {RoW} market for titanium dioxide</t>
  </si>
  <si>
    <t xml:space="preserve">Glucose</t>
  </si>
  <si>
    <t xml:space="preserve">Glucose {GLO} | market for glucose | Cut-off, S</t>
  </si>
  <si>
    <t xml:space="preserve">คอปเปอร์(II) ซัลเฟต เพนตะไฮเดรต</t>
  </si>
  <si>
    <t xml:space="preserve">CuSO₄·5H₂O</t>
  </si>
  <si>
    <t xml:space="preserve">Deionized water</t>
  </si>
  <si>
    <t xml:space="preserve">Water, deionised {RoW} | market for water, deionised</t>
  </si>
  <si>
    <t xml:space="preserve">Wastewater</t>
  </si>
  <si>
    <t xml:space="preserve">Wastewater, average {RoW} | market for wastewater, average | Cut-off, S</t>
  </si>
  <si>
    <t xml:space="preserve">Catalyst product yield</t>
  </si>
  <si>
    <t xml:space="preserve">%</t>
  </si>
  <si>
    <t xml:space="preserve">95*</t>
  </si>
  <si>
    <t xml:space="preserve">Single score</t>
  </si>
  <si>
    <t xml:space="preserve">Inventory flow</t>
  </si>
  <si>
    <t xml:space="preserve">Unit/FU</t>
  </si>
  <si>
    <t xml:space="preserve">Conventional Thermal TiO₂</t>
  </si>
  <si>
    <t xml:space="preserve">Reference product</t>
  </si>
  <si>
    <t xml:space="preserve">g</t>
  </si>
  <si>
    <t xml:space="preserve">TiO₂ anatase/precursor</t>
  </si>
  <si>
    <t xml:space="preserve">TiO₂ </t>
  </si>
  <si>
    <t xml:space="preserve">D-Glucose</t>
  </si>
  <si>
    <t xml:space="preserve">DI water—synthesis</t>
  </si>
  <si>
    <t xml:space="preserve">L=kg</t>
  </si>
  <si>
    <t xml:space="preserve">DI water</t>
  </si>
  <si>
    <t xml:space="preserve">Electricity, Grid</t>
  </si>
  <si>
    <t xml:space="preserve">Electricity, grid</t>
  </si>
  <si>
    <t xml:space="preserve">Waste contaminated wash water</t>
  </si>
  <si>
    <t xml:space="preserve">L</t>
  </si>
  <si>
    <t xml:space="preserve">Total</t>
  </si>
  <si>
    <t xml:space="preserve">Solar-modified TiO₂</t>
  </si>
  <si>
    <t xml:space="preserve">Electricity, PV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</si>
</sst>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E+00"/>
    <numFmt numFmtId="167" formatCode="0.00"/>
    <numFmt numFmtId="168" formatCode="0%"/>
  </numFmts>
  <fonts count="21">
    <font>
      <sz val="11"/>
      <color theme="1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222"/>
    </font>
    <font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70C0"/>
      <name val="Calibri"/>
      <family val="2"/>
      <charset val="222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222"/>
    </font>
    <font>
      <b val="true"/>
      <sz val="11"/>
      <color theme="1"/>
      <name val="Calibri"/>
      <family val="2"/>
      <charset val="1"/>
    </font>
    <font>
      <b val="true"/>
      <sz val="14"/>
      <color rgb="FF000000"/>
      <name val="Times New Roman"/>
      <family val="2"/>
    </font>
    <font>
      <b val="true"/>
      <sz val="16"/>
      <color rgb="FF000000"/>
      <name val="Times New Roman"/>
      <family val="2"/>
    </font>
    <font>
      <b val="true"/>
      <sz val="18"/>
      <color rgb="FF000000"/>
      <name val="Times New Roman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5"/>
        <bgColor rgb="FFDBDBDB"/>
      </patternFill>
    </fill>
    <fill>
      <patternFill patternType="solid">
        <fgColor theme="0" tint="-0.25"/>
        <bgColor rgb="FFB4C7E7"/>
      </patternFill>
    </fill>
    <fill>
      <patternFill patternType="solid">
        <fgColor theme="3" tint="0.749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5" tint="0.3999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theme="6" tint="0.5999"/>
        <bgColor rgb="FFD9D9D9"/>
      </patternFill>
    </fill>
    <fill>
      <patternFill patternType="solid">
        <fgColor rgb="FF92D050"/>
        <bgColor rgb="FFA9D18E"/>
      </patternFill>
    </fill>
    <fill>
      <patternFill patternType="solid">
        <fgColor theme="4" tint="0.5999"/>
        <bgColor rgb="FFBFBFBF"/>
      </patternFill>
    </fill>
    <fill>
      <patternFill patternType="solid">
        <fgColor theme="5" tint="0.5999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7999"/>
        <bgColor rgb="FFDAE3F3"/>
      </patternFill>
    </fill>
    <fill>
      <patternFill patternType="solid">
        <fgColor theme="7" tint="0.7999"/>
        <bgColor rgb="FFDEEBF7"/>
      </patternFill>
    </fill>
    <fill>
      <patternFill patternType="solid">
        <fgColor theme="4" tint="0.7999"/>
        <bgColor rgb="FFDE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D9D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0AD47"/>
      <rgbColor rgb="FF5B9BD5"/>
      <rgbColor rgb="FF993366"/>
      <rgbColor rgb="FFFFF2CC"/>
      <rgbColor rgb="FFDEEBF7"/>
      <rgbColor rgb="FF660066"/>
      <rgbColor rgb="FFFF8080"/>
      <rgbColor rgb="FF0070C0"/>
      <rgbColor rgb="FFCC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DBDBDB"/>
      <rgbColor rgb="FFA9D18E"/>
      <rgbColor rgb="FFB4C7E7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525"/>
          <c:y val="0.0125555555555556"/>
          <c:w val="0.88475"/>
          <c:h val="0.883555555555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Conventional Thermal TiO₂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Results!$B$11:$S$11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Results!$B$12:$S$12</c:f>
              <c:numCache>
                <c:formatCode>0.00E+00</c:formatCode>
                <c:ptCount val="18"/>
                <c:pt idx="0">
                  <c:v>0.00157366201017902</c:v>
                </c:pt>
                <c:pt idx="1">
                  <c:v>5.63903457502335E-005</c:v>
                </c:pt>
                <c:pt idx="2">
                  <c:v>8.13008322059954E-005</c:v>
                </c:pt>
                <c:pt idx="3">
                  <c:v>0.000975658085770545</c:v>
                </c:pt>
                <c:pt idx="4">
                  <c:v>0.000452787487544468</c:v>
                </c:pt>
                <c:pt idx="5">
                  <c:v>0.00118637632930675</c:v>
                </c:pt>
                <c:pt idx="6">
                  <c:v>0.000732827587732763</c:v>
                </c:pt>
                <c:pt idx="7">
                  <c:v>0.0124295540692126</c:v>
                </c:pt>
                <c:pt idx="8">
                  <c:v>0.000112307901799541</c:v>
                </c:pt>
                <c:pt idx="9">
                  <c:v>0.00219287429165326</c:v>
                </c:pt>
                <c:pt idx="10">
                  <c:v>0.0308379537847028</c:v>
                </c:pt>
                <c:pt idx="11">
                  <c:v>0.0229427472984944</c:v>
                </c:pt>
                <c:pt idx="12">
                  <c:v>0.0588121246176177</c:v>
                </c:pt>
                <c:pt idx="13">
                  <c:v>0.000430405165342663</c:v>
                </c:pt>
                <c:pt idx="14">
                  <c:v>1.26879501836233E-005</c:v>
                </c:pt>
                <c:pt idx="15">
                  <c:v>1.92477343455427E-007</c:v>
                </c:pt>
                <c:pt idx="16">
                  <c:v>0.00371738571734055</c:v>
                </c:pt>
                <c:pt idx="17">
                  <c:v>0.000199583351978056</c:v>
                </c:pt>
              </c:numCache>
            </c:numRef>
          </c:val>
        </c:ser>
        <c:ser>
          <c:idx val="1"/>
          <c:order val="1"/>
          <c:tx>
            <c:strRef>
              <c:f>Results!$A$13</c:f>
              <c:strCache>
                <c:ptCount val="1"/>
                <c:pt idx="0">
                  <c:v>Solar-modified TiO₂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Results!$B$11:$S$11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Results!$B$13:$S$13</c:f>
              <c:numCache>
                <c:formatCode>0.00E+00</c:formatCode>
                <c:ptCount val="18"/>
                <c:pt idx="0">
                  <c:v>5.61693368190492E-005</c:v>
                </c:pt>
                <c:pt idx="1">
                  <c:v>3.19142717262853E-006</c:v>
                </c:pt>
                <c:pt idx="2">
                  <c:v>6.78205588249379E-005</c:v>
                </c:pt>
                <c:pt idx="3">
                  <c:v>6.12820701657058E-005</c:v>
                </c:pt>
                <c:pt idx="4">
                  <c:v>4.22341854131735E-005</c:v>
                </c:pt>
                <c:pt idx="5">
                  <c:v>7.50479032611684E-005</c:v>
                </c:pt>
                <c:pt idx="6">
                  <c:v>5.92082482336962E-005</c:v>
                </c:pt>
                <c:pt idx="7">
                  <c:v>0.000474524485973836</c:v>
                </c:pt>
                <c:pt idx="8">
                  <c:v>5.48248025614124E-006</c:v>
                </c:pt>
                <c:pt idx="9">
                  <c:v>0.00102644760995772</c:v>
                </c:pt>
                <c:pt idx="10">
                  <c:v>0.00824296090319607</c:v>
                </c:pt>
                <c:pt idx="11">
                  <c:v>0.0060857493212083</c:v>
                </c:pt>
                <c:pt idx="12">
                  <c:v>0.00616014959908447</c:v>
                </c:pt>
                <c:pt idx="13">
                  <c:v>6.01032773040177E-005</c:v>
                </c:pt>
                <c:pt idx="14">
                  <c:v>2.33500565757385E-006</c:v>
                </c:pt>
                <c:pt idx="15">
                  <c:v>7.03893998176637E-008</c:v>
                </c:pt>
                <c:pt idx="16">
                  <c:v>0.000115516285946367</c:v>
                </c:pt>
                <c:pt idx="17">
                  <c:v>5.72843387283901E-005</c:v>
                </c:pt>
              </c:numCache>
            </c:numRef>
          </c:val>
        </c:ser>
        <c:gapWidth val="219"/>
        <c:overlap val="-27"/>
        <c:axId val="96507087"/>
        <c:axId val="65327256"/>
      </c:barChart>
      <c:catAx>
        <c:axId val="96507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Times New Roman"/>
                  </a:rPr>
                  <a:t>Impact categories</a:t>
                </a:r>
              </a:p>
            </c:rich>
          </c:tx>
          <c:layout>
            <c:manualLayout>
              <c:xMode val="edge"/>
              <c:yMode val="edge"/>
              <c:x val="0.4741875"/>
              <c:y val="0.96544444444444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5327256"/>
        <c:crosses val="autoZero"/>
        <c:auto val="1"/>
        <c:lblAlgn val="ctr"/>
        <c:lblOffset val="100"/>
        <c:noMultiLvlLbl val="0"/>
      </c:catAx>
      <c:valAx>
        <c:axId val="6532725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US" sz="18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800" spc="-1" strike="noStrike">
                    <a:solidFill>
                      <a:srgbClr val="000000"/>
                    </a:solidFill>
                    <a:latin typeface="Times New Roman"/>
                  </a:rPr>
                  <a:t>Normalized midpoint result per unit</a:t>
                </a:r>
              </a:p>
            </c:rich>
          </c:tx>
          <c:layout>
            <c:manualLayout>
              <c:xMode val="edge"/>
              <c:yMode val="edge"/>
              <c:x val="0.001"/>
              <c:y val="0.228888888888889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965070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541129755343032"/>
          <c:y val="0.0257072077103411"/>
          <c:w val="0.443336898526139"/>
          <c:h val="0.0345332068042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600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45625"/>
          <c:y val="0.0125555555555556"/>
          <c:w val="0.8854375"/>
          <c:h val="0.8996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Results!$A$18</c:f>
              <c:strCache>
                <c:ptCount val="1"/>
                <c:pt idx="0">
                  <c:v>Conventional Thermal TiO₂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Results!$B$17:$D$17</c:f>
              <c:strCache>
                <c:ptCount val="3"/>
                <c:pt idx="0">
                  <c:v>Human Health</c:v>
                </c:pt>
                <c:pt idx="1">
                  <c:v>Ecosystems</c:v>
                </c:pt>
                <c:pt idx="2">
                  <c:v>Resources</c:v>
                </c:pt>
              </c:strCache>
            </c:strRef>
          </c:cat>
          <c:val>
            <c:numRef>
              <c:f>Results!$B$18:$D$18</c:f>
              <c:numCache>
                <c:formatCode>0.00E+00</c:formatCode>
                <c:ptCount val="3"/>
                <c:pt idx="0">
                  <c:v>0.00100616289354607</c:v>
                </c:pt>
                <c:pt idx="1">
                  <c:v>3.51343625040584E-005</c:v>
                </c:pt>
                <c:pt idx="2">
                  <c:v>3.09310047704533E-005</c:v>
                </c:pt>
              </c:numCache>
            </c:numRef>
          </c:val>
        </c:ser>
        <c:ser>
          <c:idx val="1"/>
          <c:order val="1"/>
          <c:tx>
            <c:strRef>
              <c:f>Results!$A$19</c:f>
              <c:strCache>
                <c:ptCount val="1"/>
                <c:pt idx="0">
                  <c:v>Solar-modified TiO₂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Results!$B$17:$D$17</c:f>
              <c:strCache>
                <c:ptCount val="3"/>
                <c:pt idx="0">
                  <c:v>Human Health</c:v>
                </c:pt>
                <c:pt idx="1">
                  <c:v>Ecosystems</c:v>
                </c:pt>
                <c:pt idx="2">
                  <c:v>Resources</c:v>
                </c:pt>
              </c:strCache>
            </c:strRef>
          </c:cat>
          <c:val>
            <c:numRef>
              <c:f>Results!$B$19:$D$19</c:f>
              <c:numCache>
                <c:formatCode>0.00E+00</c:formatCode>
                <c:ptCount val="3"/>
                <c:pt idx="0">
                  <c:v>7.35702949171219E-005</c:v>
                </c:pt>
                <c:pt idx="1">
                  <c:v>1.89973941714965E-006</c:v>
                </c:pt>
                <c:pt idx="2">
                  <c:v>1.02492173989316E-006</c:v>
                </c:pt>
              </c:numCache>
            </c:numRef>
          </c:val>
        </c:ser>
        <c:gapWidth val="219"/>
        <c:overlap val="-27"/>
        <c:axId val="76773059"/>
        <c:axId val="65749446"/>
      </c:barChart>
      <c:catAx>
        <c:axId val="76773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Times New Roman"/>
                  </a:rPr>
                  <a:t>Impact categories</a:t>
                </a:r>
              </a:p>
            </c:rich>
          </c:tx>
          <c:layout>
            <c:manualLayout>
              <c:xMode val="edge"/>
              <c:yMode val="edge"/>
              <c:x val="0.4714375"/>
              <c:y val="0.9646666666666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5749446"/>
        <c:crosses val="autoZero"/>
        <c:auto val="1"/>
        <c:lblAlgn val="ctr"/>
        <c:lblOffset val="100"/>
        <c:noMultiLvlLbl val="0"/>
      </c:catAx>
      <c:valAx>
        <c:axId val="657494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Times New Roman"/>
                  </a:rPr>
                  <a:t>Normalized endpoint result per unit</a:t>
                </a:r>
              </a:p>
            </c:rich>
          </c:tx>
          <c:layout>
            <c:manualLayout>
              <c:xMode val="edge"/>
              <c:yMode val="edge"/>
              <c:x val="0.001125"/>
              <c:y val="0.265222222222222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767730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66946745848558"/>
          <c:y val="0.00026924143327633"/>
          <c:w val="0.631426946631671"/>
          <c:h val="0.07785521619486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600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26875"/>
          <c:y val="0.0545555555555556"/>
          <c:w val="0.9373125"/>
          <c:h val="0.9005555555555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Analysis!$V$7</c:f>
              <c:strCache>
                <c:ptCount val="1"/>
                <c:pt idx="0">
                  <c:v>TiO₂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Analysis!$W$7:$AN$7</c:f>
              <c:numCache>
                <c:formatCode>0.00E+00</c:formatCode>
                <c:ptCount val="18"/>
                <c:pt idx="0">
                  <c:v>8.9962300135849E-007</c:v>
                </c:pt>
                <c:pt idx="1">
                  <c:v>3.47847689048276E-008</c:v>
                </c:pt>
                <c:pt idx="2">
                  <c:v>4.71007835726496E-007</c:v>
                </c:pt>
                <c:pt idx="3">
                  <c:v>9.15442272830189E-007</c:v>
                </c:pt>
                <c:pt idx="4">
                  <c:v>6.54258634909091E-007</c:v>
                </c:pt>
                <c:pt idx="5">
                  <c:v>1.09265479319938E-006</c:v>
                </c:pt>
                <c:pt idx="6">
                  <c:v>1.05190783056511E-006</c:v>
                </c:pt>
                <c:pt idx="7">
                  <c:v>6.93081836091603E-006</c:v>
                </c:pt>
                <c:pt idx="8">
                  <c:v>6.10000244E-008</c:v>
                </c:pt>
                <c:pt idx="9">
                  <c:v>2.56669645377049E-006</c:v>
                </c:pt>
                <c:pt idx="10">
                  <c:v>2.00947071512545E-005</c:v>
                </c:pt>
                <c:pt idx="11">
                  <c:v>1.55023985454545E-005</c:v>
                </c:pt>
                <c:pt idx="12">
                  <c:v>3.46679019417722E-005</c:v>
                </c:pt>
                <c:pt idx="13">
                  <c:v>3.49930684809384E-007</c:v>
                </c:pt>
                <c:pt idx="14">
                  <c:v>5.47171695948387E-008</c:v>
                </c:pt>
                <c:pt idx="15">
                  <c:v>8.542202665E-009</c:v>
                </c:pt>
                <c:pt idx="16">
                  <c:v>1.7154002962963E-006</c:v>
                </c:pt>
                <c:pt idx="17">
                  <c:v>2.59616570756436E-007</c:v>
                </c:pt>
              </c:numCache>
            </c:numRef>
          </c:val>
        </c:ser>
        <c:ser>
          <c:idx val="1"/>
          <c:order val="1"/>
          <c:tx>
            <c:strRef>
              <c:f>Analysis!$V$8</c:f>
              <c:strCache>
                <c:ptCount val="1"/>
                <c:pt idx="0">
                  <c:v>D-Glucose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Analysis!$W$8:$AN$8</c:f>
              <c:numCache>
                <c:formatCode>0.00E+00</c:formatCode>
                <c:ptCount val="18"/>
                <c:pt idx="0">
                  <c:v>3.57231733421604E-007</c:v>
                </c:pt>
                <c:pt idx="1">
                  <c:v>2.16517531760436E-007</c:v>
                </c:pt>
                <c:pt idx="2">
                  <c:v>2.84442613585245E-007</c:v>
                </c:pt>
                <c:pt idx="3">
                  <c:v>4.03070605759682E-007</c:v>
                </c:pt>
                <c:pt idx="4">
                  <c:v>1.97038755980861E-007</c:v>
                </c:pt>
                <c:pt idx="5">
                  <c:v>4.84805987147157E-007</c:v>
                </c:pt>
                <c:pt idx="6">
                  <c:v>3.516475158412E-007</c:v>
                </c:pt>
                <c:pt idx="7">
                  <c:v>1.68444789071917E-006</c:v>
                </c:pt>
                <c:pt idx="8">
                  <c:v>3.51396691729323E-007</c:v>
                </c:pt>
                <c:pt idx="9">
                  <c:v>1.15445798101812E-006</c:v>
                </c:pt>
                <c:pt idx="10">
                  <c:v>6.93809092624033E-006</c:v>
                </c:pt>
                <c:pt idx="11">
                  <c:v>5.05789772727273E-006</c:v>
                </c:pt>
                <c:pt idx="12">
                  <c:v>1.79823051299134E-005</c:v>
                </c:pt>
                <c:pt idx="13">
                  <c:v>1.05123846272573E-007</c:v>
                </c:pt>
                <c:pt idx="14">
                  <c:v>1.27922213921902E-007</c:v>
                </c:pt>
                <c:pt idx="15">
                  <c:v>1.27199511278196E-010</c:v>
                </c:pt>
                <c:pt idx="16">
                  <c:v>6.78344054580897E-007</c:v>
                </c:pt>
                <c:pt idx="17">
                  <c:v>7.54581761334029E-007</c:v>
                </c:pt>
              </c:numCache>
            </c:numRef>
          </c:val>
        </c:ser>
        <c:ser>
          <c:idx val="2"/>
          <c:order val="2"/>
          <c:tx>
            <c:strRef>
              <c:f>Analysis!$V$9</c:f>
              <c:strCache>
                <c:ptCount val="1"/>
                <c:pt idx="0">
                  <c:v>CuSO₄·5H₂O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Analysis!$W$9:$AN$9</c:f>
              <c:numCache>
                <c:formatCode>0.00E+00</c:formatCode>
                <c:ptCount val="18"/>
                <c:pt idx="0">
                  <c:v>1.88556161891788E-008</c:v>
                </c:pt>
                <c:pt idx="1">
                  <c:v>4.95526595956147E-009</c:v>
                </c:pt>
                <c:pt idx="2">
                  <c:v>1.76889670923767E-008</c:v>
                </c:pt>
                <c:pt idx="3">
                  <c:v>6.64012730790749E-008</c:v>
                </c:pt>
                <c:pt idx="4">
                  <c:v>1.14126298598396E-007</c:v>
                </c:pt>
                <c:pt idx="5">
                  <c:v>7.87069441931961E-008</c:v>
                </c:pt>
                <c:pt idx="6">
                  <c:v>2.00183379216842E-007</c:v>
                </c:pt>
                <c:pt idx="7">
                  <c:v>1.97789910502165E-006</c:v>
                </c:pt>
                <c:pt idx="8">
                  <c:v>6.32592526089945E-009</c:v>
                </c:pt>
                <c:pt idx="9">
                  <c:v>3.87888717221442E-006</c:v>
                </c:pt>
                <c:pt idx="10">
                  <c:v>4.26367430594936E-005</c:v>
                </c:pt>
                <c:pt idx="11">
                  <c:v>3.12566803688861E-005</c:v>
                </c:pt>
                <c:pt idx="12">
                  <c:v>6.12861472268358E-006</c:v>
                </c:pt>
                <c:pt idx="13">
                  <c:v>4.21260042272934E-007</c:v>
                </c:pt>
                <c:pt idx="14">
                  <c:v>1.60108464369421E-009</c:v>
                </c:pt>
                <c:pt idx="15">
                  <c:v>1.80981177006014E-010</c:v>
                </c:pt>
                <c:pt idx="16">
                  <c:v>4.39997452560473E-008</c:v>
                </c:pt>
                <c:pt idx="17">
                  <c:v>1.17987828958084E-008</c:v>
                </c:pt>
              </c:numCache>
            </c:numRef>
          </c:val>
        </c:ser>
        <c:ser>
          <c:idx val="3"/>
          <c:order val="3"/>
          <c:tx>
            <c:strRef>
              <c:f>Analysis!$V$10</c:f>
              <c:strCache>
                <c:ptCount val="1"/>
                <c:pt idx="0">
                  <c:v>DI water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Analysis!$W$10:$AN$10</c:f>
              <c:numCache>
                <c:formatCode>0.00E+00</c:formatCode>
                <c:ptCount val="18"/>
                <c:pt idx="0">
                  <c:v>1.2731543087631E-008</c:v>
                </c:pt>
                <c:pt idx="1">
                  <c:v>1.53896688910345E-009</c:v>
                </c:pt>
                <c:pt idx="2">
                  <c:v>1.40645531320513E-008</c:v>
                </c:pt>
                <c:pt idx="3">
                  <c:v>1.1660415254717E-008</c:v>
                </c:pt>
                <c:pt idx="4">
                  <c:v>1.02871147727273E-008</c:v>
                </c:pt>
                <c:pt idx="5">
                  <c:v>1.40145253323029E-008</c:v>
                </c:pt>
                <c:pt idx="6">
                  <c:v>1.60608824058968E-008</c:v>
                </c:pt>
                <c:pt idx="7">
                  <c:v>7.04445841068702E-008</c:v>
                </c:pt>
                <c:pt idx="8">
                  <c:v>7.75115301071429E-010</c:v>
                </c:pt>
                <c:pt idx="9">
                  <c:v>9.94771136360656E-008</c:v>
                </c:pt>
                <c:pt idx="10">
                  <c:v>5.87834394892473E-007</c:v>
                </c:pt>
                <c:pt idx="11">
                  <c:v>4.47148582414773E-007</c:v>
                </c:pt>
                <c:pt idx="12">
                  <c:v>1.10651259015823E-006</c:v>
                </c:pt>
                <c:pt idx="13">
                  <c:v>9.42123759530792E-009</c:v>
                </c:pt>
                <c:pt idx="14">
                  <c:v>4.09101499354839E-010</c:v>
                </c:pt>
                <c:pt idx="15">
                  <c:v>1.0233059573125E-011</c:v>
                </c:pt>
                <c:pt idx="16">
                  <c:v>2.44445238888889E-008</c:v>
                </c:pt>
                <c:pt idx="17">
                  <c:v>7.60335978118812E-007</c:v>
                </c:pt>
              </c:numCache>
            </c:numRef>
          </c:val>
        </c:ser>
        <c:ser>
          <c:idx val="4"/>
          <c:order val="4"/>
          <c:tx>
            <c:strRef>
              <c:f>Analysis!$V$11</c:f>
              <c:strCache>
                <c:ptCount val="1"/>
                <c:pt idx="0">
                  <c:v>Electricity, grid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Analysis!$W$11:$AN$11</c:f>
              <c:numCache>
                <c:formatCode>0.00E+00</c:formatCode>
                <c:ptCount val="18"/>
                <c:pt idx="0">
                  <c:v>0.00157236679741887</c:v>
                </c:pt>
                <c:pt idx="1">
                  <c:v>5.61299466761379E-005</c:v>
                </c:pt>
                <c:pt idx="2">
                  <c:v>8.05094483038462E-005</c:v>
                </c:pt>
                <c:pt idx="3">
                  <c:v>0.000974255232990566</c:v>
                </c:pt>
                <c:pt idx="4">
                  <c:v>0.000451808621476364</c:v>
                </c:pt>
                <c:pt idx="5">
                  <c:v>0.00118469863265842</c:v>
                </c:pt>
                <c:pt idx="6">
                  <c:v>0.00073120394582801</c:v>
                </c:pt>
                <c:pt idx="7">
                  <c:v>0.0124170352021374</c:v>
                </c:pt>
                <c:pt idx="8">
                  <c:v>0.000111795115017857</c:v>
                </c:pt>
                <c:pt idx="9">
                  <c:v>0.00218515966406557</c:v>
                </c:pt>
                <c:pt idx="10">
                  <c:v>0.0307674029922581</c:v>
                </c:pt>
                <c:pt idx="11">
                  <c:v>0.0228902516539773</c:v>
                </c:pt>
                <c:pt idx="12">
                  <c:v>0.0587513336200633</c:v>
                </c:pt>
                <c:pt idx="13">
                  <c:v>0.000429506105209971</c:v>
                </c:pt>
                <c:pt idx="14">
                  <c:v>1.25031241889419E-005</c:v>
                </c:pt>
                <c:pt idx="15">
                  <c:v>1.83613255551964E-007</c:v>
                </c:pt>
                <c:pt idx="16">
                  <c:v>0.003714912355</c:v>
                </c:pt>
                <c:pt idx="17">
                  <c:v>0.000199144349996436</c:v>
                </c:pt>
              </c:numCache>
            </c:numRef>
          </c:val>
        </c:ser>
        <c:ser>
          <c:idx val="5"/>
          <c:order val="5"/>
          <c:tx>
            <c:strRef>
              <c:f>Analysis!$V$12</c:f>
              <c:strCache>
                <c:ptCount val="1"/>
                <c:pt idx="0">
                  <c:v>Wastewater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Analysis!$W$12:$AN$12</c:f>
              <c:numCache>
                <c:formatCode>General</c:formatCode>
                <c:ptCount val="18"/>
                <c:pt idx="0">
                  <c:v>6.77086609660377E-009</c:v>
                </c:pt>
                <c:pt idx="1">
                  <c:v>2.60254058164138E-009</c:v>
                </c:pt>
                <c:pt idx="2">
                  <c:v>4.17993261307692E-009</c:v>
                </c:pt>
                <c:pt idx="3">
                  <c:v>6.27821305556604E-009</c:v>
                </c:pt>
                <c:pt idx="4">
                  <c:v>3.15526384309091E-009</c:v>
                </c:pt>
                <c:pt idx="5">
                  <c:v>7.5143984557187E-009</c:v>
                </c:pt>
                <c:pt idx="6">
                  <c:v>3.84229672381327E-009</c:v>
                </c:pt>
                <c:pt idx="7">
                  <c:v>1.85525713442748E-006</c:v>
                </c:pt>
                <c:pt idx="8">
                  <c:v>9.32890249928571E-008</c:v>
                </c:pt>
                <c:pt idx="9">
                  <c:v>1.51088670501639E-008</c:v>
                </c:pt>
                <c:pt idx="10">
                  <c:v>2.93416912854839E-007</c:v>
                </c:pt>
                <c:pt idx="11">
                  <c:v>2.31519293105114E-007</c:v>
                </c:pt>
                <c:pt idx="12">
                  <c:v>9.05663169911392E-007</c:v>
                </c:pt>
                <c:pt idx="13">
                  <c:v>1.33243217419355E-008</c:v>
                </c:pt>
                <c:pt idx="14">
                  <c:v>1.76425021596774E-010</c:v>
                </c:pt>
                <c:pt idx="15">
                  <c:v>3.47149060561607E-012</c:v>
                </c:pt>
                <c:pt idx="16">
                  <c:v>1.1173720525E-008</c:v>
                </c:pt>
                <c:pt idx="17">
                  <c:v>-1.34733111148515E-006</c:v>
                </c:pt>
              </c:numCache>
            </c:numRef>
          </c:val>
        </c:ser>
        <c:gapWidth val="150"/>
        <c:overlap val="100"/>
        <c:axId val="28060164"/>
        <c:axId val="78296965"/>
      </c:barChart>
      <c:catAx>
        <c:axId val="280601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Times New Roman"/>
                  </a:rPr>
                  <a:t>Impact categories</a:t>
                </a:r>
              </a:p>
            </c:rich>
          </c:tx>
          <c:layout>
            <c:manualLayout>
              <c:xMode val="edge"/>
              <c:yMode val="edge"/>
              <c:x val="0.43625"/>
              <c:y val="0.96544444444444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78296965"/>
        <c:crosses val="autoZero"/>
        <c:auto val="1"/>
        <c:lblAlgn val="ctr"/>
        <c:lblOffset val="100"/>
        <c:noMultiLvlLbl val="0"/>
      </c:catAx>
      <c:valAx>
        <c:axId val="78296965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28060164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42325095699469"/>
          <c:y val="0.0062973711770805"/>
          <c:w val="0.762277975293196"/>
          <c:h val="0.0345332068042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600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26875"/>
          <c:y val="0.0465555555555556"/>
          <c:w val="0.9373125"/>
          <c:h val="0.89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Analysis!$V$20</c:f>
              <c:strCache>
                <c:ptCount val="1"/>
                <c:pt idx="0">
                  <c:v>TiO₂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Analysis!$W$20:$AN$20</c:f>
              <c:numCache>
                <c:formatCode>0.00E+00</c:formatCode>
                <c:ptCount val="18"/>
                <c:pt idx="0">
                  <c:v>8.9962300135849E-007</c:v>
                </c:pt>
                <c:pt idx="1">
                  <c:v>3.47847689048276E-008</c:v>
                </c:pt>
                <c:pt idx="2">
                  <c:v>4.71007835726496E-007</c:v>
                </c:pt>
                <c:pt idx="3">
                  <c:v>9.15442272830189E-007</c:v>
                </c:pt>
                <c:pt idx="4">
                  <c:v>6.54258634909091E-007</c:v>
                </c:pt>
                <c:pt idx="5">
                  <c:v>1.09265479319938E-006</c:v>
                </c:pt>
                <c:pt idx="6">
                  <c:v>1.05190783056511E-006</c:v>
                </c:pt>
                <c:pt idx="7">
                  <c:v>6.93081836091603E-006</c:v>
                </c:pt>
                <c:pt idx="8">
                  <c:v>6.10000244E-008</c:v>
                </c:pt>
                <c:pt idx="9">
                  <c:v>2.56669645377049E-006</c:v>
                </c:pt>
                <c:pt idx="10">
                  <c:v>2.00947071512545E-005</c:v>
                </c:pt>
                <c:pt idx="11">
                  <c:v>1.55023985454545E-005</c:v>
                </c:pt>
                <c:pt idx="12">
                  <c:v>3.46679019417722E-005</c:v>
                </c:pt>
                <c:pt idx="13">
                  <c:v>3.49930684809384E-007</c:v>
                </c:pt>
                <c:pt idx="14">
                  <c:v>5.47171695948387E-008</c:v>
                </c:pt>
                <c:pt idx="15">
                  <c:v>8.542202665E-009</c:v>
                </c:pt>
                <c:pt idx="16">
                  <c:v>1.7154002962963E-006</c:v>
                </c:pt>
                <c:pt idx="17">
                  <c:v>2.59616570756436E-007</c:v>
                </c:pt>
              </c:numCache>
            </c:numRef>
          </c:val>
        </c:ser>
        <c:ser>
          <c:idx val="1"/>
          <c:order val="1"/>
          <c:tx>
            <c:strRef>
              <c:f>Analysis!$V$21</c:f>
              <c:strCache>
                <c:ptCount val="1"/>
                <c:pt idx="0">
                  <c:v>D-Glucose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Analysis!$W$21:$AN$21</c:f>
              <c:numCache>
                <c:formatCode>0.00E+00</c:formatCode>
                <c:ptCount val="18"/>
                <c:pt idx="0">
                  <c:v>3.57231733421604E-007</c:v>
                </c:pt>
                <c:pt idx="1">
                  <c:v>2.16517531760436E-007</c:v>
                </c:pt>
                <c:pt idx="2">
                  <c:v>2.84442613585245E-007</c:v>
                </c:pt>
                <c:pt idx="3">
                  <c:v>4.03070605759682E-007</c:v>
                </c:pt>
                <c:pt idx="4">
                  <c:v>1.97038755980861E-007</c:v>
                </c:pt>
                <c:pt idx="5">
                  <c:v>4.84805987147157E-007</c:v>
                </c:pt>
                <c:pt idx="6">
                  <c:v>3.516475158412E-007</c:v>
                </c:pt>
                <c:pt idx="7">
                  <c:v>1.68444789071917E-006</c:v>
                </c:pt>
                <c:pt idx="8">
                  <c:v>3.51396691729323E-007</c:v>
                </c:pt>
                <c:pt idx="9">
                  <c:v>1.15445798101812E-006</c:v>
                </c:pt>
                <c:pt idx="10">
                  <c:v>6.93809092624033E-006</c:v>
                </c:pt>
                <c:pt idx="11">
                  <c:v>5.05789772727273E-006</c:v>
                </c:pt>
                <c:pt idx="12">
                  <c:v>1.79823051299134E-005</c:v>
                </c:pt>
                <c:pt idx="13">
                  <c:v>1.05123846272573E-007</c:v>
                </c:pt>
                <c:pt idx="14">
                  <c:v>1.27922213921902E-007</c:v>
                </c:pt>
                <c:pt idx="15">
                  <c:v>1.27199511278196E-010</c:v>
                </c:pt>
                <c:pt idx="16">
                  <c:v>6.78344054580897E-007</c:v>
                </c:pt>
                <c:pt idx="17">
                  <c:v>7.54581761334029E-007</c:v>
                </c:pt>
              </c:numCache>
            </c:numRef>
          </c:val>
        </c:ser>
        <c:ser>
          <c:idx val="2"/>
          <c:order val="2"/>
          <c:tx>
            <c:strRef>
              <c:f>Analysis!$V$22</c:f>
              <c:strCache>
                <c:ptCount val="1"/>
                <c:pt idx="0">
                  <c:v>CuSO₄·5H₂O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Analysis!$W$22:$AN$22</c:f>
              <c:numCache>
                <c:formatCode>0.00E+00</c:formatCode>
                <c:ptCount val="18"/>
                <c:pt idx="0">
                  <c:v>1.88556161891788E-008</c:v>
                </c:pt>
                <c:pt idx="1">
                  <c:v>4.95526595956147E-009</c:v>
                </c:pt>
                <c:pt idx="2">
                  <c:v>1.76889670923767E-008</c:v>
                </c:pt>
                <c:pt idx="3">
                  <c:v>6.64012730790749E-008</c:v>
                </c:pt>
                <c:pt idx="4">
                  <c:v>1.14126298598396E-007</c:v>
                </c:pt>
                <c:pt idx="5">
                  <c:v>7.87069441931961E-008</c:v>
                </c:pt>
                <c:pt idx="6">
                  <c:v>2.00183379216842E-007</c:v>
                </c:pt>
                <c:pt idx="7">
                  <c:v>1.97789910502165E-006</c:v>
                </c:pt>
                <c:pt idx="8">
                  <c:v>6.32592526089945E-009</c:v>
                </c:pt>
                <c:pt idx="9">
                  <c:v>3.87888717221442E-006</c:v>
                </c:pt>
                <c:pt idx="10">
                  <c:v>4.26367430594936E-005</c:v>
                </c:pt>
                <c:pt idx="11">
                  <c:v>3.12566803688861E-005</c:v>
                </c:pt>
                <c:pt idx="12">
                  <c:v>6.12861472268358E-006</c:v>
                </c:pt>
                <c:pt idx="13">
                  <c:v>4.21260042272934E-007</c:v>
                </c:pt>
                <c:pt idx="14">
                  <c:v>1.60108464369421E-009</c:v>
                </c:pt>
                <c:pt idx="15">
                  <c:v>1.80981177006014E-010</c:v>
                </c:pt>
                <c:pt idx="16">
                  <c:v>4.39997452560473E-008</c:v>
                </c:pt>
                <c:pt idx="17">
                  <c:v>1.17987828958084E-008</c:v>
                </c:pt>
              </c:numCache>
            </c:numRef>
          </c:val>
        </c:ser>
        <c:ser>
          <c:idx val="3"/>
          <c:order val="3"/>
          <c:tx>
            <c:strRef>
              <c:f>Analysis!$V$23</c:f>
              <c:strCache>
                <c:ptCount val="1"/>
                <c:pt idx="0">
                  <c:v>DI water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Analysis!$W$23:$AN$23</c:f>
              <c:numCache>
                <c:formatCode>0.00E+00</c:formatCode>
                <c:ptCount val="18"/>
                <c:pt idx="0">
                  <c:v>1.2731543087631E-011</c:v>
                </c:pt>
                <c:pt idx="1">
                  <c:v>1.53896688910345E-012</c:v>
                </c:pt>
                <c:pt idx="2">
                  <c:v>1.40645531320513E-011</c:v>
                </c:pt>
                <c:pt idx="3">
                  <c:v>1.1660415254717E-011</c:v>
                </c:pt>
                <c:pt idx="4">
                  <c:v>1.02871147727273E-011</c:v>
                </c:pt>
                <c:pt idx="5">
                  <c:v>1.40145253323029E-011</c:v>
                </c:pt>
                <c:pt idx="6">
                  <c:v>1.60608824058968E-011</c:v>
                </c:pt>
                <c:pt idx="7">
                  <c:v>7.04445841068702E-011</c:v>
                </c:pt>
                <c:pt idx="8">
                  <c:v>7.75115301071429E-013</c:v>
                </c:pt>
                <c:pt idx="9">
                  <c:v>9.94771136360656E-011</c:v>
                </c:pt>
                <c:pt idx="10">
                  <c:v>5.87834394892473E-010</c:v>
                </c:pt>
                <c:pt idx="11">
                  <c:v>4.47148582414773E-010</c:v>
                </c:pt>
                <c:pt idx="12">
                  <c:v>1.10651259015823E-009</c:v>
                </c:pt>
                <c:pt idx="13">
                  <c:v>9.42123759530792E-012</c:v>
                </c:pt>
                <c:pt idx="14">
                  <c:v>4.09101499354839E-013</c:v>
                </c:pt>
                <c:pt idx="15">
                  <c:v>1.0233059573125E-014</c:v>
                </c:pt>
                <c:pt idx="16">
                  <c:v>2.44445238888889E-011</c:v>
                </c:pt>
                <c:pt idx="17">
                  <c:v>7.60335978118812E-010</c:v>
                </c:pt>
              </c:numCache>
            </c:numRef>
          </c:val>
        </c:ser>
        <c:ser>
          <c:idx val="4"/>
          <c:order val="4"/>
          <c:tx>
            <c:strRef>
              <c:f>Analysis!$V$24</c:f>
              <c:strCache>
                <c:ptCount val="1"/>
                <c:pt idx="0">
                  <c:v>Electricity, PV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Analysis!$W$24:$AN$24</c:f>
              <c:numCache>
                <c:formatCode>0.00E+00</c:formatCode>
                <c:ptCount val="18"/>
                <c:pt idx="0">
                  <c:v>5.48868428704403E-005</c:v>
                </c:pt>
                <c:pt idx="1">
                  <c:v>2.93256552645517E-006</c:v>
                </c:pt>
                <c:pt idx="2">
                  <c:v>6.70432254113675E-005</c:v>
                </c:pt>
                <c:pt idx="3">
                  <c:v>5.9890866140566E-005</c:v>
                </c:pt>
                <c:pt idx="4">
                  <c:v>4.12655961727273E-005</c:v>
                </c:pt>
                <c:pt idx="5">
                  <c:v>7.33842071236476E-005</c:v>
                </c:pt>
                <c:pt idx="6">
                  <c:v>5.76006511504668E-005</c:v>
                </c:pt>
                <c:pt idx="7">
                  <c:v>0.000462075993038168</c:v>
                </c:pt>
                <c:pt idx="8">
                  <c:v>4.97046781464286E-006</c:v>
                </c:pt>
                <c:pt idx="9">
                  <c:v>0.00101883236000656</c:v>
                </c:pt>
                <c:pt idx="10">
                  <c:v>0.00817299735731183</c:v>
                </c:pt>
                <c:pt idx="11">
                  <c:v>0.006033700378125</c:v>
                </c:pt>
                <c:pt idx="12">
                  <c:v>0.0061004640076076</c:v>
                </c:pt>
                <c:pt idx="13">
                  <c:v>5.92136289876833E-005</c:v>
                </c:pt>
                <c:pt idx="14">
                  <c:v>2.15058835529032E-006</c:v>
                </c:pt>
                <c:pt idx="15">
                  <c:v>6.15355347407143E-008</c:v>
                </c:pt>
                <c:pt idx="16">
                  <c:v>0.000113067343685185</c:v>
                </c:pt>
                <c:pt idx="17">
                  <c:v>5.76049123889109E-005</c:v>
                </c:pt>
              </c:numCache>
            </c:numRef>
          </c:val>
        </c:ser>
        <c:ser>
          <c:idx val="5"/>
          <c:order val="5"/>
          <c:tx>
            <c:strRef>
              <c:f>Analysis!$V$25</c:f>
              <c:strCache>
                <c:ptCount val="1"/>
                <c:pt idx="0">
                  <c:v>Wastewater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Analysis!$W$3:$AN$3</c:f>
              <c:strCache>
                <c:ptCount val="18"/>
                <c:pt idx="0">
                  <c:v>GWP</c:v>
                </c:pt>
                <c:pt idx="1">
                  <c:v>SOD</c:v>
                </c:pt>
                <c:pt idx="2">
                  <c:v>IR</c:v>
                </c:pt>
                <c:pt idx="3">
                  <c:v>OF-HH</c:v>
                </c:pt>
                <c:pt idx="4">
                  <c:v>FPMF</c:v>
                </c:pt>
                <c:pt idx="5">
                  <c:v>OF-TE</c:v>
                </c:pt>
                <c:pt idx="6">
                  <c:v>TA</c:v>
                </c:pt>
                <c:pt idx="7">
                  <c:v>FE</c:v>
                </c:pt>
                <c:pt idx="8">
                  <c:v>ME</c:v>
                </c:pt>
                <c:pt idx="9">
                  <c:v>TET</c:v>
                </c:pt>
                <c:pt idx="10">
                  <c:v>FET</c:v>
                </c:pt>
                <c:pt idx="11">
                  <c:v>MET</c:v>
                </c:pt>
                <c:pt idx="12">
                  <c:v>HCT</c:v>
                </c:pt>
                <c:pt idx="13">
                  <c:v>HNT</c:v>
                </c:pt>
                <c:pt idx="14">
                  <c:v>LU</c:v>
                </c:pt>
                <c:pt idx="15">
                  <c:v>MRS</c:v>
                </c:pt>
                <c:pt idx="16">
                  <c:v>FRS</c:v>
                </c:pt>
                <c:pt idx="17">
                  <c:v>WC</c:v>
                </c:pt>
              </c:strCache>
            </c:strRef>
          </c:cat>
          <c:val>
            <c:numRef>
              <c:f>Analysis!$W$25:$AN$25</c:f>
              <c:numCache>
                <c:formatCode>General</c:formatCode>
                <c:ptCount val="18"/>
                <c:pt idx="0">
                  <c:v>6.77086609660377E-009</c:v>
                </c:pt>
                <c:pt idx="1">
                  <c:v>2.60254058164138E-009</c:v>
                </c:pt>
                <c:pt idx="2">
                  <c:v>4.17993261307692E-009</c:v>
                </c:pt>
                <c:pt idx="3">
                  <c:v>6.27821305556604E-009</c:v>
                </c:pt>
                <c:pt idx="4">
                  <c:v>3.15526384309091E-009</c:v>
                </c:pt>
                <c:pt idx="5">
                  <c:v>7.5143984557187E-009</c:v>
                </c:pt>
                <c:pt idx="6">
                  <c:v>3.84229672381327E-009</c:v>
                </c:pt>
                <c:pt idx="7">
                  <c:v>1.85525713442748E-006</c:v>
                </c:pt>
                <c:pt idx="8">
                  <c:v>9.32890249928571E-008</c:v>
                </c:pt>
                <c:pt idx="9">
                  <c:v>1.51088670501639E-008</c:v>
                </c:pt>
                <c:pt idx="10">
                  <c:v>2.93416912854839E-007</c:v>
                </c:pt>
                <c:pt idx="11">
                  <c:v>2.31519293105114E-007</c:v>
                </c:pt>
                <c:pt idx="12">
                  <c:v>9.05663169911392E-007</c:v>
                </c:pt>
                <c:pt idx="13">
                  <c:v>1.33243217419355E-008</c:v>
                </c:pt>
                <c:pt idx="14">
                  <c:v>1.76425021596774E-010</c:v>
                </c:pt>
                <c:pt idx="15">
                  <c:v>3.47149060561607E-012</c:v>
                </c:pt>
                <c:pt idx="16">
                  <c:v>1.1173720525E-008</c:v>
                </c:pt>
                <c:pt idx="17">
                  <c:v>-1.34733111148515E-006</c:v>
                </c:pt>
              </c:numCache>
            </c:numRef>
          </c:val>
        </c:ser>
        <c:gapWidth val="150"/>
        <c:overlap val="100"/>
        <c:axId val="2967074"/>
        <c:axId val="68098746"/>
      </c:barChart>
      <c:catAx>
        <c:axId val="29670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Times New Roman"/>
                  </a:rPr>
                  <a:t>Impact categories</a:t>
                </a:r>
              </a:p>
            </c:rich>
          </c:tx>
          <c:layout>
            <c:manualLayout>
              <c:xMode val="edge"/>
              <c:yMode val="edge"/>
              <c:x val="0.4420625"/>
              <c:y val="0.96733333333333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8098746"/>
        <c:crosses val="autoZero"/>
        <c:auto val="1"/>
        <c:lblAlgn val="ctr"/>
        <c:lblOffset val="100"/>
        <c:noMultiLvlLbl val="0"/>
      </c:catAx>
      <c:valAx>
        <c:axId val="68098746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2967074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67828295042768"/>
          <c:y val="0.00144491204376538"/>
          <c:w val="0.71479119603689"/>
          <c:h val="0.0345332068042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600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4" activeCellId="0" sqref="C24"/>
    </sheetView>
  </sheetViews>
  <sheetFormatPr defaultColWidth="8.88671875" defaultRowHeight="12.75" zeroHeight="false" outlineLevelRow="0" outlineLevelCol="0"/>
  <cols>
    <col collapsed="false" customWidth="false" hidden="false" outlineLevel="0" max="1" min="1" style="1" width="8.88"/>
    <col collapsed="false" customWidth="true" hidden="false" outlineLevel="0" max="2" min="2" style="1" width="28.44"/>
    <col collapsed="false" customWidth="false" hidden="false" outlineLevel="0" max="3" min="3" style="1" width="8.88"/>
    <col collapsed="false" customWidth="true" hidden="false" outlineLevel="0" max="4" min="4" style="1" width="10.88"/>
    <col collapsed="false" customWidth="true" hidden="false" outlineLevel="0" max="5" min="5" style="1" width="12.77"/>
    <col collapsed="false" customWidth="true" hidden="false" outlineLevel="0" max="6" min="6" style="1" width="37.11"/>
    <col collapsed="false" customWidth="false" hidden="false" outlineLevel="0" max="25" min="7" style="1" width="8.88"/>
    <col collapsed="false" customWidth="true" hidden="false" outlineLevel="0" max="26" min="26" style="1" width="11.44"/>
    <col collapsed="false" customWidth="true" hidden="false" outlineLevel="0" max="27" min="27" style="1" width="9"/>
    <col collapsed="false" customWidth="true" hidden="false" outlineLevel="0" max="28" min="28" style="1" width="9.78"/>
    <col collapsed="false" customWidth="true" hidden="false" outlineLevel="0" max="34" min="29" style="1" width="9"/>
    <col collapsed="false" customWidth="true" hidden="false" outlineLevel="0" max="35" min="35" style="1" width="12.56"/>
    <col collapsed="false" customWidth="true" hidden="false" outlineLevel="0" max="38" min="36" style="1" width="9"/>
    <col collapsed="false" customWidth="true" hidden="false" outlineLevel="0" max="39" min="39" style="1" width="12.56"/>
    <col collapsed="false" customWidth="true" hidden="false" outlineLevel="0" max="40" min="40" style="1" width="11.44"/>
    <col collapsed="false" customWidth="true" hidden="false" outlineLevel="0" max="41" min="41" style="1" width="13.77"/>
    <col collapsed="false" customWidth="true" hidden="false" outlineLevel="0" max="43" min="42" style="1" width="9.78"/>
    <col collapsed="false" customWidth="false" hidden="false" outlineLevel="0" max="44" min="44" style="1" width="8.88"/>
    <col collapsed="false" customWidth="true" hidden="false" outlineLevel="0" max="66" min="45" style="1" width="9.33"/>
    <col collapsed="false" customWidth="false" hidden="false" outlineLevel="0" max="71" min="67" style="1" width="8.88"/>
    <col collapsed="false" customWidth="true" hidden="false" outlineLevel="0" max="74" min="72" style="1" width="9"/>
    <col collapsed="false" customWidth="false" hidden="false" outlineLevel="0" max="75" min="75" style="1" width="8.88"/>
    <col collapsed="false" customWidth="true" hidden="false" outlineLevel="0" max="78" min="76" style="1" width="9"/>
    <col collapsed="false" customWidth="false" hidden="false" outlineLevel="0" max="16384" min="79" style="1" width="8.8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3" t="s">
        <v>3</v>
      </c>
      <c r="F1" s="4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6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</row>
    <row r="2" customFormat="false" ht="12.75" hidden="false" customHeight="false" outlineLevel="0" collapsed="false">
      <c r="A2" s="8"/>
      <c r="B2" s="8"/>
      <c r="C2" s="9"/>
      <c r="D2" s="9"/>
      <c r="E2" s="10"/>
      <c r="F2" s="4"/>
      <c r="G2" s="11" t="s">
        <v>7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6"/>
      <c r="Z2" s="12" t="s">
        <v>8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6"/>
      <c r="AS2" s="11" t="s">
        <v>9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3" t="s">
        <v>10</v>
      </c>
      <c r="BQ2" s="13"/>
      <c r="BR2" s="13"/>
      <c r="BS2" s="6"/>
      <c r="BT2" s="14" t="s">
        <v>11</v>
      </c>
      <c r="BU2" s="14"/>
      <c r="BV2" s="14"/>
      <c r="BW2" s="6"/>
      <c r="BX2" s="15" t="s">
        <v>12</v>
      </c>
      <c r="BY2" s="15"/>
      <c r="BZ2" s="15"/>
    </row>
    <row r="3" customFormat="false" ht="92.25" hidden="false" customHeight="true" outlineLevel="0" collapsed="false">
      <c r="A3" s="8"/>
      <c r="B3" s="8"/>
      <c r="C3" s="16"/>
      <c r="D3" s="16"/>
      <c r="E3" s="17" t="s">
        <v>13</v>
      </c>
      <c r="F3" s="18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23</v>
      </c>
      <c r="P3" s="19" t="s">
        <v>24</v>
      </c>
      <c r="Q3" s="19" t="s">
        <v>25</v>
      </c>
      <c r="R3" s="19" t="s">
        <v>26</v>
      </c>
      <c r="S3" s="19" t="s">
        <v>27</v>
      </c>
      <c r="T3" s="19" t="s">
        <v>28</v>
      </c>
      <c r="U3" s="19" t="s">
        <v>29</v>
      </c>
      <c r="V3" s="19" t="s">
        <v>30</v>
      </c>
      <c r="W3" s="19" t="s">
        <v>31</v>
      </c>
      <c r="X3" s="19" t="s">
        <v>32</v>
      </c>
      <c r="Y3" s="20"/>
      <c r="Z3" s="21" t="str">
        <f aca="false" t="array" ref="Z3:AQ3">G3:X3</f>
        <v>Global warming</v>
      </c>
      <c r="AA3" s="21" t="str">
        <v>Stratospheric ozone depletion</v>
      </c>
      <c r="AB3" s="21" t="str">
        <v>Ionizing radiation</v>
      </c>
      <c r="AC3" s="21" t="str">
        <v>Ozone formation, Human health</v>
      </c>
      <c r="AD3" s="21" t="str">
        <v>Fine particulate matter formation</v>
      </c>
      <c r="AE3" s="21" t="str">
        <v>Ozone formation, Terrestrial ecosystems</v>
      </c>
      <c r="AF3" s="21" t="str">
        <v>Terrestrial acidification</v>
      </c>
      <c r="AG3" s="21" t="str">
        <v>Freshwater eutrophication</v>
      </c>
      <c r="AH3" s="21" t="str">
        <v>Marine eutrophication</v>
      </c>
      <c r="AI3" s="21" t="str">
        <v>Terrestrial ecotoxicity</v>
      </c>
      <c r="AJ3" s="21" t="str">
        <v>Freshwater ecotoxicity</v>
      </c>
      <c r="AK3" s="21" t="str">
        <v>Marine ecotoxicity</v>
      </c>
      <c r="AL3" s="21" t="str">
        <v>Human carcinogenic toxicity</v>
      </c>
      <c r="AM3" s="21" t="str">
        <v>Human non-carcinogenic toxicity</v>
      </c>
      <c r="AN3" s="21" t="str">
        <v>Land use</v>
      </c>
      <c r="AO3" s="21" t="str">
        <v>Mineral resource scarcity</v>
      </c>
      <c r="AP3" s="21" t="str">
        <v>Fossil resource scarcity</v>
      </c>
      <c r="AQ3" s="21" t="str">
        <v>Water consumption</v>
      </c>
      <c r="AR3" s="20"/>
      <c r="AS3" s="22" t="s">
        <v>33</v>
      </c>
      <c r="AT3" s="22" t="s">
        <v>34</v>
      </c>
      <c r="AU3" s="22" t="s">
        <v>35</v>
      </c>
      <c r="AV3" s="23" t="s">
        <v>16</v>
      </c>
      <c r="AW3" s="23" t="s">
        <v>17</v>
      </c>
      <c r="AX3" s="23" t="s">
        <v>18</v>
      </c>
      <c r="AY3" s="23" t="s">
        <v>19</v>
      </c>
      <c r="AZ3" s="24" t="s">
        <v>20</v>
      </c>
      <c r="BA3" s="24" t="s">
        <v>21</v>
      </c>
      <c r="BB3" s="24" t="s">
        <v>22</v>
      </c>
      <c r="BC3" s="24" t="s">
        <v>23</v>
      </c>
      <c r="BD3" s="24" t="s">
        <v>24</v>
      </c>
      <c r="BE3" s="24" t="s">
        <v>25</v>
      </c>
      <c r="BF3" s="24" t="s">
        <v>26</v>
      </c>
      <c r="BG3" s="23" t="s">
        <v>27</v>
      </c>
      <c r="BH3" s="23" t="s">
        <v>28</v>
      </c>
      <c r="BI3" s="24" t="s">
        <v>29</v>
      </c>
      <c r="BJ3" s="25" t="s">
        <v>30</v>
      </c>
      <c r="BK3" s="25" t="s">
        <v>31</v>
      </c>
      <c r="BL3" s="23" t="s">
        <v>36</v>
      </c>
      <c r="BM3" s="24" t="s">
        <v>37</v>
      </c>
      <c r="BN3" s="24" t="s">
        <v>38</v>
      </c>
      <c r="BO3" s="20"/>
      <c r="BP3" s="26" t="s">
        <v>39</v>
      </c>
      <c r="BQ3" s="26" t="s">
        <v>40</v>
      </c>
      <c r="BR3" s="26" t="s">
        <v>41</v>
      </c>
      <c r="BS3" s="20"/>
      <c r="BT3" s="20" t="s">
        <v>42</v>
      </c>
      <c r="BU3" s="20" t="s">
        <v>43</v>
      </c>
      <c r="BV3" s="20" t="s">
        <v>44</v>
      </c>
      <c r="BW3" s="20"/>
      <c r="BX3" s="20" t="s">
        <v>42</v>
      </c>
      <c r="BY3" s="20" t="s">
        <v>43</v>
      </c>
      <c r="BZ3" s="20" t="s">
        <v>44</v>
      </c>
    </row>
    <row r="4" customFormat="false" ht="39" hidden="false" customHeight="true" outlineLevel="0" collapsed="false">
      <c r="A4" s="8"/>
      <c r="B4" s="8"/>
      <c r="C4" s="16"/>
      <c r="D4" s="16"/>
      <c r="E4" s="17"/>
      <c r="F4" s="18" t="s">
        <v>45</v>
      </c>
      <c r="G4" s="19" t="s">
        <v>46</v>
      </c>
      <c r="H4" s="19" t="s">
        <v>47</v>
      </c>
      <c r="I4" s="19" t="s">
        <v>48</v>
      </c>
      <c r="J4" s="19" t="s">
        <v>49</v>
      </c>
      <c r="K4" s="19" t="s">
        <v>50</v>
      </c>
      <c r="L4" s="19" t="s">
        <v>51</v>
      </c>
      <c r="M4" s="19" t="s">
        <v>52</v>
      </c>
      <c r="N4" s="19" t="s">
        <v>53</v>
      </c>
      <c r="O4" s="19" t="s">
        <v>54</v>
      </c>
      <c r="P4" s="19" t="s">
        <v>55</v>
      </c>
      <c r="Q4" s="19" t="s">
        <v>56</v>
      </c>
      <c r="R4" s="19" t="s">
        <v>57</v>
      </c>
      <c r="S4" s="19" t="s">
        <v>58</v>
      </c>
      <c r="T4" s="19" t="s">
        <v>59</v>
      </c>
      <c r="U4" s="19" t="s">
        <v>60</v>
      </c>
      <c r="V4" s="19" t="s">
        <v>61</v>
      </c>
      <c r="W4" s="19" t="s">
        <v>62</v>
      </c>
      <c r="X4" s="19" t="s">
        <v>63</v>
      </c>
      <c r="Y4" s="20"/>
      <c r="Z4" s="19" t="s">
        <v>46</v>
      </c>
      <c r="AA4" s="19" t="s">
        <v>47</v>
      </c>
      <c r="AB4" s="19" t="s">
        <v>48</v>
      </c>
      <c r="AC4" s="19" t="s">
        <v>49</v>
      </c>
      <c r="AD4" s="19" t="s">
        <v>50</v>
      </c>
      <c r="AE4" s="19" t="s">
        <v>51</v>
      </c>
      <c r="AF4" s="19" t="s">
        <v>52</v>
      </c>
      <c r="AG4" s="19" t="s">
        <v>53</v>
      </c>
      <c r="AH4" s="19" t="s">
        <v>54</v>
      </c>
      <c r="AI4" s="19" t="s">
        <v>55</v>
      </c>
      <c r="AJ4" s="19" t="s">
        <v>56</v>
      </c>
      <c r="AK4" s="19" t="s">
        <v>57</v>
      </c>
      <c r="AL4" s="19" t="s">
        <v>58</v>
      </c>
      <c r="AM4" s="19" t="s">
        <v>59</v>
      </c>
      <c r="AN4" s="19" t="s">
        <v>60</v>
      </c>
      <c r="AO4" s="19" t="s">
        <v>61</v>
      </c>
      <c r="AP4" s="19" t="s">
        <v>62</v>
      </c>
      <c r="AQ4" s="19" t="s">
        <v>63</v>
      </c>
      <c r="AR4" s="20"/>
      <c r="AS4" s="22" t="s">
        <v>64</v>
      </c>
      <c r="AT4" s="22" t="s">
        <v>65</v>
      </c>
      <c r="AU4" s="22" t="s">
        <v>66</v>
      </c>
      <c r="AV4" s="23" t="s">
        <v>67</v>
      </c>
      <c r="AW4" s="23" t="s">
        <v>68</v>
      </c>
      <c r="AX4" s="23" t="s">
        <v>49</v>
      </c>
      <c r="AY4" s="23" t="s">
        <v>69</v>
      </c>
      <c r="AZ4" s="24" t="s">
        <v>51</v>
      </c>
      <c r="BA4" s="24" t="s">
        <v>70</v>
      </c>
      <c r="BB4" s="24" t="s">
        <v>71</v>
      </c>
      <c r="BC4" s="24" t="s">
        <v>54</v>
      </c>
      <c r="BD4" s="24" t="s">
        <v>55</v>
      </c>
      <c r="BE4" s="24" t="s">
        <v>56</v>
      </c>
      <c r="BF4" s="24" t="s">
        <v>57</v>
      </c>
      <c r="BG4" s="23" t="s">
        <v>72</v>
      </c>
      <c r="BH4" s="23" t="s">
        <v>73</v>
      </c>
      <c r="BI4" s="24" t="s">
        <v>74</v>
      </c>
      <c r="BJ4" s="25" t="s">
        <v>75</v>
      </c>
      <c r="BK4" s="25" t="s">
        <v>76</v>
      </c>
      <c r="BL4" s="23" t="s">
        <v>77</v>
      </c>
      <c r="BM4" s="24" t="s">
        <v>78</v>
      </c>
      <c r="BN4" s="24" t="s">
        <v>79</v>
      </c>
      <c r="BO4" s="20"/>
      <c r="BP4" s="27" t="s">
        <v>80</v>
      </c>
      <c r="BQ4" s="28" t="s">
        <v>81</v>
      </c>
      <c r="BR4" s="29" t="s">
        <v>82</v>
      </c>
      <c r="BS4" s="20"/>
      <c r="BT4" s="30" t="s">
        <v>83</v>
      </c>
      <c r="BU4" s="30" t="s">
        <v>84</v>
      </c>
      <c r="BV4" s="30" t="s">
        <v>85</v>
      </c>
      <c r="BW4" s="20"/>
      <c r="BX4" s="20" t="s">
        <v>86</v>
      </c>
      <c r="BY4" s="20" t="s">
        <v>86</v>
      </c>
      <c r="BZ4" s="20" t="s">
        <v>86</v>
      </c>
    </row>
    <row r="5" customFormat="false" ht="52.5" hidden="false" customHeight="true" outlineLevel="0" collapsed="false">
      <c r="A5" s="31"/>
      <c r="B5" s="31"/>
      <c r="C5" s="31"/>
      <c r="D5" s="31"/>
      <c r="E5" s="32"/>
      <c r="F5" s="33" t="s">
        <v>87</v>
      </c>
      <c r="G5" s="20" t="s">
        <v>88</v>
      </c>
      <c r="H5" s="20" t="s">
        <v>89</v>
      </c>
      <c r="I5" s="20" t="s">
        <v>90</v>
      </c>
      <c r="J5" s="20" t="s">
        <v>91</v>
      </c>
      <c r="K5" s="20" t="s">
        <v>92</v>
      </c>
      <c r="L5" s="20" t="s">
        <v>91</v>
      </c>
      <c r="M5" s="20" t="s">
        <v>93</v>
      </c>
      <c r="N5" s="20" t="s">
        <v>94</v>
      </c>
      <c r="O5" s="20" t="s">
        <v>95</v>
      </c>
      <c r="P5" s="20" t="s">
        <v>96</v>
      </c>
      <c r="Q5" s="20" t="s">
        <v>96</v>
      </c>
      <c r="R5" s="20" t="s">
        <v>96</v>
      </c>
      <c r="S5" s="20" t="s">
        <v>96</v>
      </c>
      <c r="T5" s="20" t="s">
        <v>96</v>
      </c>
      <c r="U5" s="20" t="s">
        <v>97</v>
      </c>
      <c r="V5" s="20" t="s">
        <v>98</v>
      </c>
      <c r="W5" s="20" t="s">
        <v>99</v>
      </c>
      <c r="X5" s="20" t="s">
        <v>100</v>
      </c>
      <c r="Y5" s="20"/>
      <c r="Z5" s="21" t="s">
        <v>101</v>
      </c>
      <c r="AA5" s="21" t="s">
        <v>102</v>
      </c>
      <c r="AB5" s="21" t="s">
        <v>103</v>
      </c>
      <c r="AC5" s="21" t="s">
        <v>104</v>
      </c>
      <c r="AD5" s="21" t="s">
        <v>105</v>
      </c>
      <c r="AE5" s="21" t="s">
        <v>104</v>
      </c>
      <c r="AF5" s="21" t="s">
        <v>106</v>
      </c>
      <c r="AG5" s="21" t="s">
        <v>107</v>
      </c>
      <c r="AH5" s="21" t="s">
        <v>108</v>
      </c>
      <c r="AI5" s="21" t="s">
        <v>109</v>
      </c>
      <c r="AJ5" s="21" t="s">
        <v>109</v>
      </c>
      <c r="AK5" s="21" t="s">
        <v>109</v>
      </c>
      <c r="AL5" s="21" t="s">
        <v>109</v>
      </c>
      <c r="AM5" s="21" t="s">
        <v>109</v>
      </c>
      <c r="AN5" s="21" t="s">
        <v>110</v>
      </c>
      <c r="AO5" s="21" t="s">
        <v>111</v>
      </c>
      <c r="AP5" s="21" t="s">
        <v>112</v>
      </c>
      <c r="AQ5" s="21" t="s">
        <v>113</v>
      </c>
      <c r="AR5" s="20"/>
      <c r="AS5" s="34" t="s">
        <v>114</v>
      </c>
      <c r="AT5" s="24" t="s">
        <v>115</v>
      </c>
      <c r="AU5" s="24" t="s">
        <v>115</v>
      </c>
      <c r="AV5" s="34" t="s">
        <v>116</v>
      </c>
      <c r="AW5" s="34" t="s">
        <v>117</v>
      </c>
      <c r="AX5" s="34" t="s">
        <v>118</v>
      </c>
      <c r="AY5" s="34" t="s">
        <v>119</v>
      </c>
      <c r="AZ5" s="24" t="s">
        <v>120</v>
      </c>
      <c r="BA5" s="24" t="s">
        <v>121</v>
      </c>
      <c r="BB5" s="24" t="s">
        <v>122</v>
      </c>
      <c r="BC5" s="24" t="s">
        <v>123</v>
      </c>
      <c r="BD5" s="24" t="s">
        <v>124</v>
      </c>
      <c r="BE5" s="24" t="s">
        <v>124</v>
      </c>
      <c r="BF5" s="24" t="s">
        <v>124</v>
      </c>
      <c r="BG5" s="34" t="s">
        <v>125</v>
      </c>
      <c r="BH5" s="34" t="s">
        <v>125</v>
      </c>
      <c r="BI5" s="24" t="s">
        <v>126</v>
      </c>
      <c r="BJ5" s="22" t="s">
        <v>127</v>
      </c>
      <c r="BK5" s="22" t="s">
        <v>128</v>
      </c>
      <c r="BL5" s="34" t="s">
        <v>129</v>
      </c>
      <c r="BM5" s="24" t="s">
        <v>130</v>
      </c>
      <c r="BN5" s="24" t="s">
        <v>130</v>
      </c>
      <c r="BO5" s="20"/>
      <c r="BP5" s="35"/>
      <c r="BQ5" s="35"/>
      <c r="BR5" s="35"/>
      <c r="BS5" s="20"/>
      <c r="BT5" s="36"/>
      <c r="BU5" s="36"/>
      <c r="BV5" s="36"/>
      <c r="BW5" s="20"/>
      <c r="BX5" s="35"/>
      <c r="BY5" s="35"/>
      <c r="BZ5" s="35"/>
    </row>
    <row r="6" s="37" customFormat="true" ht="21" hidden="false" customHeight="true" outlineLevel="0" collapsed="false">
      <c r="B6" s="38" t="s">
        <v>131</v>
      </c>
      <c r="C6" s="39" t="s">
        <v>132</v>
      </c>
      <c r="D6" s="39"/>
      <c r="E6" s="40"/>
      <c r="F6" s="41" t="s">
        <v>133</v>
      </c>
      <c r="G6" s="42" t="n">
        <v>0.797</v>
      </c>
      <c r="H6" s="42" t="n">
        <v>2.13E-007</v>
      </c>
      <c r="I6" s="42" t="n">
        <v>0.00245</v>
      </c>
      <c r="J6" s="42" t="n">
        <v>0.00127</v>
      </c>
      <c r="K6" s="42" t="n">
        <v>0.000732</v>
      </c>
      <c r="L6" s="42" t="n">
        <v>0.00133</v>
      </c>
      <c r="M6" s="42" t="n">
        <v>0.0019</v>
      </c>
      <c r="N6" s="42" t="n">
        <v>0.00051</v>
      </c>
      <c r="O6" s="42" t="n">
        <v>3.25E-005</v>
      </c>
      <c r="P6" s="42" t="n">
        <v>2.1</v>
      </c>
      <c r="Q6" s="42" t="n">
        <v>0.0492</v>
      </c>
      <c r="R6" s="42" t="n">
        <v>0.063</v>
      </c>
      <c r="S6" s="42" t="n">
        <v>0.0383</v>
      </c>
      <c r="T6" s="42" t="n">
        <v>0.851</v>
      </c>
      <c r="U6" s="42" t="n">
        <v>0.00489</v>
      </c>
      <c r="V6" s="42" t="n">
        <v>0.00139</v>
      </c>
      <c r="W6" s="42" t="n">
        <v>0.231</v>
      </c>
      <c r="X6" s="42" t="n">
        <v>0.00337</v>
      </c>
      <c r="Y6" s="43"/>
      <c r="Z6" s="43" t="n">
        <v>9.95832285115304E-005</v>
      </c>
      <c r="AA6" s="43" t="n">
        <v>3.55489655172414E-006</v>
      </c>
      <c r="AB6" s="43" t="n">
        <v>5.09893162393162E-006</v>
      </c>
      <c r="AC6" s="43" t="n">
        <v>6.17028301886793E-005</v>
      </c>
      <c r="AD6" s="43" t="n">
        <v>2.86145454545455E-005</v>
      </c>
      <c r="AE6" s="43" t="n">
        <v>7.50309119010819E-005</v>
      </c>
      <c r="AF6" s="43" t="n">
        <v>4.63095823095823E-005</v>
      </c>
      <c r="AG6" s="43" t="n">
        <v>0.000786412213740458</v>
      </c>
      <c r="AH6" s="43" t="n">
        <v>7.08035714285714E-006</v>
      </c>
      <c r="AI6" s="43" t="n">
        <v>0.000138393442622951</v>
      </c>
      <c r="AJ6" s="43" t="n">
        <v>0.00194860215053763</v>
      </c>
      <c r="AK6" s="43" t="n">
        <v>0.00144971590909091</v>
      </c>
      <c r="AL6" s="43" t="n">
        <v>0.00372091772151899</v>
      </c>
      <c r="AM6" s="43" t="n">
        <v>2.72020527859238E-005</v>
      </c>
      <c r="AN6" s="43" t="n">
        <v>7.91864516129032E-007</v>
      </c>
      <c r="AO6" s="43" t="n">
        <v>1.16288392857143E-008</v>
      </c>
      <c r="AP6" s="43" t="n">
        <v>0.000235277777777778</v>
      </c>
      <c r="AQ6" s="43" t="n">
        <v>1.26124752475248E-005</v>
      </c>
      <c r="AR6" s="43"/>
      <c r="AS6" s="43" t="n">
        <v>7.385198859E-007</v>
      </c>
      <c r="AT6" s="43" t="n">
        <v>2.22224322E-009</v>
      </c>
      <c r="AU6" s="43" t="n">
        <v>6.098637624E-014</v>
      </c>
      <c r="AV6" s="43" t="n">
        <v>1.131103485E-010</v>
      </c>
      <c r="AW6" s="43" t="n">
        <v>2.08354713E-011</v>
      </c>
      <c r="AX6" s="43" t="n">
        <v>1.156179298E-009</v>
      </c>
      <c r="AY6" s="43" t="n">
        <v>4.591636164E-007</v>
      </c>
      <c r="AZ6" s="43" t="n">
        <v>1.71646076E-010</v>
      </c>
      <c r="BA6" s="43" t="n">
        <v>4.0240784E-010</v>
      </c>
      <c r="BB6" s="43" t="n">
        <v>3.4181679E-010</v>
      </c>
      <c r="BC6" s="43" t="n">
        <v>5.54821475E-014</v>
      </c>
      <c r="BD6" s="43" t="n">
        <v>2.4029502E-011</v>
      </c>
      <c r="BE6" s="43" t="n">
        <v>3.403440996E-011</v>
      </c>
      <c r="BF6" s="43" t="n">
        <v>6.6221568E-012</v>
      </c>
      <c r="BG6" s="43" t="n">
        <v>1.272626655E-007</v>
      </c>
      <c r="BH6" s="43" t="n">
        <v>1.94656889E-007</v>
      </c>
      <c r="BI6" s="43" t="n">
        <v>4.332645135E-011</v>
      </c>
      <c r="BJ6" s="43" t="n">
        <v>0.000322678631</v>
      </c>
      <c r="BK6" s="43" t="n">
        <v>0.0545416641</v>
      </c>
      <c r="BL6" s="43" t="n">
        <v>6.43970267E-009</v>
      </c>
      <c r="BM6" s="43" t="n">
        <v>4.10406014E-011</v>
      </c>
      <c r="BN6" s="43" t="n">
        <v>2.572544431E-015</v>
      </c>
      <c r="BO6" s="43"/>
      <c r="BP6" s="43" t="n">
        <v>1.5273328845878E-006</v>
      </c>
      <c r="BQ6" s="43" t="n">
        <v>3.28728608857817E-009</v>
      </c>
      <c r="BR6" s="43" t="n">
        <v>0.054864342731</v>
      </c>
      <c r="BS6" s="43"/>
      <c r="BT6" s="43" t="n">
        <v>6.3633702604226E-005</v>
      </c>
      <c r="BU6" s="43" t="n">
        <v>2.22232263584289E-006</v>
      </c>
      <c r="BV6" s="43" t="n">
        <v>1.95711254685943E-006</v>
      </c>
      <c r="BW6" s="43"/>
      <c r="BX6" s="43" t="n">
        <v>25.4534810416904</v>
      </c>
      <c r="BY6" s="43" t="n">
        <v>0.888929054337157</v>
      </c>
      <c r="BZ6" s="43" t="n">
        <v>0.391422509371887</v>
      </c>
    </row>
    <row r="7" customFormat="false" ht="12.75" hidden="false" customHeight="false" outlineLevel="0" collapsed="false">
      <c r="B7" s="1" t="s">
        <v>134</v>
      </c>
      <c r="C7" s="1" t="s">
        <v>132</v>
      </c>
      <c r="F7" s="1" t="s">
        <v>135</v>
      </c>
      <c r="G7" s="44" t="n">
        <v>0.0645</v>
      </c>
      <c r="H7" s="44" t="n">
        <v>2.58E-008</v>
      </c>
      <c r="I7" s="44" t="n">
        <v>0.00473</v>
      </c>
      <c r="J7" s="44" t="n">
        <v>0.000181</v>
      </c>
      <c r="K7" s="44" t="n">
        <v>0.000155</v>
      </c>
      <c r="L7" s="44" t="n">
        <v>0.000191</v>
      </c>
      <c r="M7" s="44" t="n">
        <v>0.000347</v>
      </c>
      <c r="N7" s="44" t="n">
        <v>4.4E-005</v>
      </c>
      <c r="O7" s="44" t="n">
        <v>3.35E-006</v>
      </c>
      <c r="P7" s="44" t="n">
        <v>2.27</v>
      </c>
      <c r="Q7" s="44" t="n">
        <v>0.0303</v>
      </c>
      <c r="R7" s="44" t="n">
        <v>0.0385</v>
      </c>
      <c r="S7" s="44" t="n">
        <v>0.00922</v>
      </c>
      <c r="T7" s="44" t="n">
        <v>0.272</v>
      </c>
      <c r="U7" s="44" t="n">
        <v>0.00195</v>
      </c>
      <c r="V7" s="44" t="n">
        <v>0.00108</v>
      </c>
      <c r="W7" s="44" t="n">
        <v>0.0163</v>
      </c>
      <c r="X7" s="44" t="n">
        <v>0.00226</v>
      </c>
      <c r="Y7" s="44"/>
      <c r="Z7" s="44" t="n">
        <v>8.05911949685535E-006</v>
      </c>
      <c r="AA7" s="44" t="n">
        <v>4.30593103448276E-007</v>
      </c>
      <c r="AB7" s="44" t="n">
        <v>9.84405982905983E-006</v>
      </c>
      <c r="AC7" s="44" t="n">
        <v>8.7938679245283E-006</v>
      </c>
      <c r="AD7" s="44" t="n">
        <v>6.05909090909091E-006</v>
      </c>
      <c r="AE7" s="44" t="n">
        <v>1.07751159196291E-005</v>
      </c>
      <c r="AF7" s="44" t="n">
        <v>8.45759213759214E-006</v>
      </c>
      <c r="AG7" s="44" t="n">
        <v>6.78473282442748E-005</v>
      </c>
      <c r="AH7" s="44" t="n">
        <v>7.29821428571429E-007</v>
      </c>
      <c r="AI7" s="44" t="n">
        <v>0.000149596721311475</v>
      </c>
      <c r="AJ7" s="44" t="n">
        <v>0.00120005376344086</v>
      </c>
      <c r="AK7" s="44" t="n">
        <v>0.0008859375</v>
      </c>
      <c r="AL7" s="44" t="n">
        <v>0.000895740506329114</v>
      </c>
      <c r="AM7" s="44" t="n">
        <v>8.69442815249267E-006</v>
      </c>
      <c r="AN7" s="44" t="n">
        <v>3.15774193548387E-007</v>
      </c>
      <c r="AO7" s="44" t="n">
        <v>9.03535714285714E-009</v>
      </c>
      <c r="AP7" s="44" t="n">
        <v>1.66018518518519E-005</v>
      </c>
      <c r="AQ7" s="44" t="n">
        <v>8.45821782178218E-006</v>
      </c>
      <c r="AR7" s="44"/>
      <c r="AS7" s="44" t="n">
        <v>5.976729315E-008</v>
      </c>
      <c r="AT7" s="44" t="n">
        <v>1.7984277E-010</v>
      </c>
      <c r="AU7" s="44" t="n">
        <v>4.93553484E-015</v>
      </c>
      <c r="AV7" s="44" t="n">
        <v>1.37006901E-011</v>
      </c>
      <c r="AW7" s="44" t="n">
        <v>4.022521602E-011</v>
      </c>
      <c r="AX7" s="44" t="n">
        <v>1.647783094E-010</v>
      </c>
      <c r="AY7" s="44" t="n">
        <v>9.72272685E-008</v>
      </c>
      <c r="AZ7" s="44" t="n">
        <v>2.46499252E-011</v>
      </c>
      <c r="BA7" s="44" t="n">
        <v>7.34923792E-011</v>
      </c>
      <c r="BB7" s="44" t="n">
        <v>2.9490076E-011</v>
      </c>
      <c r="BC7" s="44" t="n">
        <v>5.71892905E-015</v>
      </c>
      <c r="BD7" s="44" t="n">
        <v>2.59747474E-011</v>
      </c>
      <c r="BE7" s="44" t="n">
        <v>2.096021589E-011</v>
      </c>
      <c r="BF7" s="44" t="n">
        <v>4.0468736E-012</v>
      </c>
      <c r="BG7" s="44" t="n">
        <v>3.06360777E-008</v>
      </c>
      <c r="BH7" s="44" t="n">
        <v>6.2217008E-008</v>
      </c>
      <c r="BI7" s="44" t="n">
        <v>1.727741925E-011</v>
      </c>
      <c r="BJ7" s="44" t="n">
        <v>0.000250714332</v>
      </c>
      <c r="BK7" s="44" t="n">
        <v>0.00384861093</v>
      </c>
      <c r="BL7" s="44" t="n">
        <v>4.31861366E-009</v>
      </c>
      <c r="BM7" s="44" t="n">
        <v>2.75227772E-011</v>
      </c>
      <c r="BN7" s="44" t="n">
        <v>1.725207838E-015</v>
      </c>
      <c r="BO7" s="44"/>
      <c r="BP7" s="44" t="n">
        <v>2.5438496522552E-007</v>
      </c>
      <c r="BQ7" s="44" t="n">
        <v>4.03269563411728E-010</v>
      </c>
      <c r="BR7" s="44" t="n">
        <v>0.004099325262</v>
      </c>
      <c r="BS7" s="44"/>
      <c r="BT7" s="44" t="n">
        <v>1.05985128634979E-005</v>
      </c>
      <c r="BU7" s="44" t="n">
        <v>2.72624607341063E-007</v>
      </c>
      <c r="BV7" s="44" t="n">
        <v>1.46230511559284E-007</v>
      </c>
      <c r="BW7" s="44"/>
      <c r="BX7" s="44" t="n">
        <v>4.23940514539915</v>
      </c>
      <c r="BY7" s="44" t="n">
        <v>0.109049842936425</v>
      </c>
      <c r="BZ7" s="44" t="n">
        <v>0.0292461023118569</v>
      </c>
    </row>
    <row r="8" customFormat="false" ht="12.75" hidden="false" customHeight="false" outlineLevel="0" collapsed="false">
      <c r="B8" s="1" t="s">
        <v>136</v>
      </c>
      <c r="C8" s="1" t="s">
        <v>137</v>
      </c>
      <c r="D8" s="1" t="s">
        <v>138</v>
      </c>
      <c r="F8" s="1" t="s">
        <v>139</v>
      </c>
      <c r="G8" s="44" t="n">
        <v>6.84</v>
      </c>
      <c r="H8" s="44" t="n">
        <v>1.98E-006</v>
      </c>
      <c r="I8" s="44" t="n">
        <v>0.215</v>
      </c>
      <c r="J8" s="44" t="n">
        <v>0.0179</v>
      </c>
      <c r="K8" s="44" t="n">
        <v>0.0159</v>
      </c>
      <c r="L8" s="44" t="n">
        <v>0.0184</v>
      </c>
      <c r="M8" s="44" t="n">
        <v>0.041</v>
      </c>
      <c r="N8" s="44" t="n">
        <v>0.00427</v>
      </c>
      <c r="O8" s="44" t="n">
        <v>0.000266</v>
      </c>
      <c r="P8" s="44" t="n">
        <v>37</v>
      </c>
      <c r="Q8" s="44" t="n">
        <v>0.482</v>
      </c>
      <c r="R8" s="44" t="n">
        <v>0.64</v>
      </c>
      <c r="S8" s="44" t="n">
        <v>0.339</v>
      </c>
      <c r="T8" s="44" t="n">
        <v>10.4</v>
      </c>
      <c r="U8" s="44" t="n">
        <v>0.321</v>
      </c>
      <c r="V8" s="44" t="n">
        <v>0.97</v>
      </c>
      <c r="W8" s="44" t="n">
        <v>1.6</v>
      </c>
      <c r="X8" s="44" t="n">
        <v>0.0659</v>
      </c>
      <c r="Y8" s="44"/>
      <c r="Z8" s="44" t="n">
        <v>0.000854641509433962</v>
      </c>
      <c r="AA8" s="44" t="n">
        <v>3.30455172413793E-005</v>
      </c>
      <c r="AB8" s="44" t="n">
        <v>0.000447457264957265</v>
      </c>
      <c r="AC8" s="44" t="n">
        <v>0.000869669811320755</v>
      </c>
      <c r="AD8" s="44" t="n">
        <v>0.000621545454545455</v>
      </c>
      <c r="AE8" s="44" t="n">
        <v>0.00103802163833076</v>
      </c>
      <c r="AF8" s="44" t="n">
        <v>0.00099931203931204</v>
      </c>
      <c r="AG8" s="44" t="n">
        <v>0.00658427480916031</v>
      </c>
      <c r="AH8" s="44" t="n">
        <v>5.795E-005</v>
      </c>
      <c r="AI8" s="44" t="n">
        <v>0.00243836065573771</v>
      </c>
      <c r="AJ8" s="44" t="n">
        <v>0.0190899641577061</v>
      </c>
      <c r="AK8" s="44" t="n">
        <v>0.0147272727272727</v>
      </c>
      <c r="AL8" s="44" t="n">
        <v>0.0329344936708861</v>
      </c>
      <c r="AM8" s="44" t="n">
        <v>0.000332434017595308</v>
      </c>
      <c r="AN8" s="44" t="n">
        <v>5.19812903225806E-005</v>
      </c>
      <c r="AO8" s="44" t="n">
        <v>8.11508928571429E-006</v>
      </c>
      <c r="AP8" s="44" t="n">
        <v>0.00162962962962963</v>
      </c>
      <c r="AQ8" s="44" t="n">
        <v>0.000246635643564357</v>
      </c>
      <c r="AR8" s="44"/>
      <c r="AS8" s="44" t="n">
        <v>6.338112948E-006</v>
      </c>
      <c r="AT8" s="44" t="n">
        <v>1.90716984E-008</v>
      </c>
      <c r="AU8" s="44" t="n">
        <v>5.233962528E-013</v>
      </c>
      <c r="AV8" s="44" t="n">
        <v>1.05144831E-009</v>
      </c>
      <c r="AW8" s="44" t="n">
        <v>1.82841891E-009</v>
      </c>
      <c r="AX8" s="44" t="n">
        <v>1.629575546E-008</v>
      </c>
      <c r="AY8" s="44" t="n">
        <v>9.97363593E-006</v>
      </c>
      <c r="AZ8" s="44" t="n">
        <v>2.37465248E-009</v>
      </c>
      <c r="BA8" s="44" t="n">
        <v>8.6835376E-009</v>
      </c>
      <c r="BB8" s="44" t="n">
        <v>2.86187783E-009</v>
      </c>
      <c r="BC8" s="44" t="n">
        <v>4.54100038E-013</v>
      </c>
      <c r="BD8" s="44" t="n">
        <v>4.2337694E-010</v>
      </c>
      <c r="BE8" s="44" t="n">
        <v>3.334265366E-010</v>
      </c>
      <c r="BF8" s="44" t="n">
        <v>6.7272704E-011</v>
      </c>
      <c r="BG8" s="44" t="n">
        <v>1.126424115E-006</v>
      </c>
      <c r="BH8" s="44" t="n">
        <v>2.3788856E-006</v>
      </c>
      <c r="BI8" s="44" t="n">
        <v>2.844129015E-009</v>
      </c>
      <c r="BJ8" s="44" t="n">
        <v>0.225178613</v>
      </c>
      <c r="BK8" s="44" t="n">
        <v>0.37777776</v>
      </c>
      <c r="BL8" s="44" t="n">
        <v>1.259277169E-007</v>
      </c>
      <c r="BM8" s="44" t="n">
        <v>8.02544698E-010</v>
      </c>
      <c r="BN8" s="44" t="n">
        <v>5.030583917E-014</v>
      </c>
      <c r="BO8" s="44"/>
      <c r="BP8" s="44" t="n">
        <v>1.996216193258E-005</v>
      </c>
      <c r="BQ8" s="44" t="n">
        <v>3.746354400573E-008</v>
      </c>
      <c r="BR8" s="44" t="n">
        <v>0.602956373</v>
      </c>
      <c r="BS8" s="44"/>
      <c r="BT8" s="44" t="n">
        <v>0.000831689207096474</v>
      </c>
      <c r="BU8" s="44" t="n">
        <v>2.53266918726992E-005</v>
      </c>
      <c r="BV8" s="44" t="n">
        <v>2.15085686634935E-005</v>
      </c>
      <c r="BW8" s="44"/>
      <c r="BX8" s="44" t="n">
        <v>332.67568283859</v>
      </c>
      <c r="BY8" s="44" t="n">
        <v>10.1306767490797</v>
      </c>
      <c r="BZ8" s="44" t="n">
        <v>4.30171373269871</v>
      </c>
    </row>
    <row r="9" customFormat="false" ht="12.75" hidden="false" customHeight="false" outlineLevel="0" collapsed="false">
      <c r="B9" s="1" t="s">
        <v>140</v>
      </c>
      <c r="C9" s="1" t="s">
        <v>137</v>
      </c>
      <c r="F9" s="1" t="s">
        <v>141</v>
      </c>
      <c r="G9" s="44" t="n">
        <v>1.73</v>
      </c>
      <c r="H9" s="44" t="n">
        <v>7.85E-006</v>
      </c>
      <c r="I9" s="44" t="n">
        <v>0.0827</v>
      </c>
      <c r="J9" s="44" t="n">
        <v>0.00502</v>
      </c>
      <c r="K9" s="44" t="n">
        <v>0.00305</v>
      </c>
      <c r="L9" s="44" t="n">
        <v>0.0052</v>
      </c>
      <c r="M9" s="44" t="n">
        <v>0.00873</v>
      </c>
      <c r="N9" s="44" t="n">
        <v>0.000661</v>
      </c>
      <c r="O9" s="44" t="n">
        <v>0.000976</v>
      </c>
      <c r="P9" s="44" t="n">
        <v>10.6</v>
      </c>
      <c r="Q9" s="44" t="n">
        <v>0.106</v>
      </c>
      <c r="R9" s="44" t="n">
        <v>0.133</v>
      </c>
      <c r="S9" s="44" t="n">
        <v>0.112</v>
      </c>
      <c r="T9" s="44" t="n">
        <v>1.99</v>
      </c>
      <c r="U9" s="44" t="n">
        <v>0.478</v>
      </c>
      <c r="V9" s="44" t="n">
        <v>0.0092</v>
      </c>
      <c r="W9" s="44" t="n">
        <v>0.403</v>
      </c>
      <c r="X9" s="44" t="n">
        <v>0.122</v>
      </c>
      <c r="Y9" s="44"/>
      <c r="Z9" s="44" t="n">
        <v>0.000216159329140461</v>
      </c>
      <c r="AA9" s="44" t="n">
        <v>0.000131013793103448</v>
      </c>
      <c r="AB9" s="44" t="n">
        <v>0.000172114957264957</v>
      </c>
      <c r="AC9" s="44" t="n">
        <v>0.000243896226415094</v>
      </c>
      <c r="AD9" s="44" t="n">
        <v>0.000119227272727273</v>
      </c>
      <c r="AE9" s="44" t="n">
        <v>0.000293353941267388</v>
      </c>
      <c r="AF9" s="44" t="n">
        <v>0.000212780343980344</v>
      </c>
      <c r="AG9" s="44" t="n">
        <v>0.00101925190839695</v>
      </c>
      <c r="AH9" s="44" t="n">
        <v>0.000212628571428571</v>
      </c>
      <c r="AI9" s="44" t="n">
        <v>0.00069855737704918</v>
      </c>
      <c r="AJ9" s="44" t="n">
        <v>0.00419820788530466</v>
      </c>
      <c r="AK9" s="44" t="n">
        <v>0.00306051136363636</v>
      </c>
      <c r="AL9" s="44" t="n">
        <v>0.0108810126582279</v>
      </c>
      <c r="AM9" s="44" t="n">
        <v>6.36099706744868E-005</v>
      </c>
      <c r="AN9" s="44" t="n">
        <v>7.74051612903226E-005</v>
      </c>
      <c r="AO9" s="44" t="n">
        <v>7.69678571428571E-008</v>
      </c>
      <c r="AP9" s="44" t="n">
        <v>0.000410462962962963</v>
      </c>
      <c r="AQ9" s="44" t="n">
        <v>0.000456594059405941</v>
      </c>
      <c r="AR9" s="44"/>
      <c r="AS9" s="44" t="n">
        <v>1.603060731E-006</v>
      </c>
      <c r="AT9" s="44" t="n">
        <v>4.8236898E-009</v>
      </c>
      <c r="AU9" s="44" t="n">
        <v>1.323794616E-013</v>
      </c>
      <c r="AV9" s="44" t="n">
        <v>4.168620825E-009</v>
      </c>
      <c r="AW9" s="44" t="n">
        <v>7.033034598E-010</v>
      </c>
      <c r="AX9" s="44" t="n">
        <v>4.570094548E-009</v>
      </c>
      <c r="AY9" s="44" t="n">
        <v>1.913181735E-006</v>
      </c>
      <c r="AZ9" s="44" t="n">
        <v>6.7109744E-010</v>
      </c>
      <c r="BA9" s="44" t="n">
        <v>1.848958128E-009</v>
      </c>
      <c r="BB9" s="44" t="n">
        <v>4.43021369E-010</v>
      </c>
      <c r="BC9" s="44" t="n">
        <v>1.666171568E-012</v>
      </c>
      <c r="BD9" s="44" t="n">
        <v>1.21291772E-010</v>
      </c>
      <c r="BE9" s="44" t="n">
        <v>7.33261678E-011</v>
      </c>
      <c r="BF9" s="44" t="n">
        <v>1.39801088E-011</v>
      </c>
      <c r="BG9" s="44" t="n">
        <v>3.7215192E-007</v>
      </c>
      <c r="BH9" s="44" t="n">
        <v>4.5519061E-007</v>
      </c>
      <c r="BI9" s="44" t="n">
        <v>4.23518277E-009</v>
      </c>
      <c r="BJ9" s="44" t="n">
        <v>0.00213571468</v>
      </c>
      <c r="BK9" s="44" t="n">
        <v>0.0951527733</v>
      </c>
      <c r="BL9" s="44" t="n">
        <v>2.33128702E-007</v>
      </c>
      <c r="BM9" s="44" t="n">
        <v>1.48574284E-009</v>
      </c>
      <c r="BN9" s="44" t="n">
        <v>9.31306886E-014</v>
      </c>
      <c r="BO9" s="44"/>
      <c r="BP9" s="44" t="n">
        <v>4.5861557168328E-006</v>
      </c>
      <c r="BQ9" s="44" t="n">
        <v>1.37181820773182E-008</v>
      </c>
      <c r="BR9" s="44" t="n">
        <v>0.09728848798</v>
      </c>
      <c r="BS9" s="44"/>
      <c r="BT9" s="44" t="n">
        <v>0.000191074304708872</v>
      </c>
      <c r="BU9" s="44" t="n">
        <v>9.27398033866426E-006</v>
      </c>
      <c r="BV9" s="44" t="n">
        <v>3.47046024818332E-006</v>
      </c>
      <c r="BW9" s="44"/>
      <c r="BX9" s="44" t="n">
        <v>76.4297218835487</v>
      </c>
      <c r="BY9" s="44" t="n">
        <v>3.7095921354657</v>
      </c>
      <c r="BZ9" s="44" t="n">
        <v>0.694092049636664</v>
      </c>
    </row>
    <row r="10" customFormat="false" ht="12.75" hidden="false" customHeight="false" outlineLevel="0" collapsed="false">
      <c r="B10" s="1" t="s">
        <v>142</v>
      </c>
      <c r="C10" s="1" t="s">
        <v>137</v>
      </c>
      <c r="D10" s="1" t="s">
        <v>143</v>
      </c>
      <c r="E10" s="45" t="n">
        <v>249.69</v>
      </c>
      <c r="G10" s="44" t="n">
        <v>1.9911499058833</v>
      </c>
      <c r="H10" s="44" t="n">
        <v>3.91751541511474E-006</v>
      </c>
      <c r="I10" s="44" t="n">
        <v>0.11214514558052</v>
      </c>
      <c r="J10" s="44" t="n">
        <v>0.0180329239456927</v>
      </c>
      <c r="K10" s="44" t="n">
        <v>0.0385213120269134</v>
      </c>
      <c r="L10" s="44" t="n">
        <v>0.018408380231487</v>
      </c>
      <c r="M10" s="44" t="n">
        <v>0.108368200568705</v>
      </c>
      <c r="N10" s="44" t="n">
        <v>0.0169244735712283</v>
      </c>
      <c r="O10" s="44" t="n">
        <v>0.000383127531739357</v>
      </c>
      <c r="P10" s="44" t="n">
        <v>776.608318234611</v>
      </c>
      <c r="Q10" s="44" t="n">
        <v>14.2042090848652</v>
      </c>
      <c r="R10" s="44" t="n">
        <v>17.9222117890184</v>
      </c>
      <c r="S10" s="44" t="n">
        <v>0.832342625655813</v>
      </c>
      <c r="T10" s="44" t="n">
        <v>173.887857663503</v>
      </c>
      <c r="U10" s="44" t="n">
        <v>0.130455795586527</v>
      </c>
      <c r="V10" s="44" t="n">
        <v>0.285432189514999</v>
      </c>
      <c r="W10" s="44" t="n">
        <v>0.569996699907886</v>
      </c>
      <c r="X10" s="44" t="n">
        <v>0.0415966056309824</v>
      </c>
      <c r="Y10" s="44"/>
      <c r="Z10" s="44" t="n">
        <v>0.000248789380273888</v>
      </c>
      <c r="AA10" s="44" t="n">
        <v>6.53819814108805E-005</v>
      </c>
      <c r="AB10" s="44" t="n">
        <v>0.000233396093579971</v>
      </c>
      <c r="AC10" s="44" t="n">
        <v>0.000876127908682238</v>
      </c>
      <c r="AD10" s="44" t="n">
        <v>0.00150583310650661</v>
      </c>
      <c r="AE10" s="44" t="n">
        <v>0.00103849440254912</v>
      </c>
      <c r="AF10" s="44" t="n">
        <v>0.00264130847577778</v>
      </c>
      <c r="AG10" s="44" t="n">
        <v>0.0260972798579246</v>
      </c>
      <c r="AH10" s="44" t="n">
        <v>8.34670694146456E-005</v>
      </c>
      <c r="AI10" s="44" t="n">
        <v>0.0511797613000514</v>
      </c>
      <c r="AJ10" s="44" t="n">
        <v>0.562568137590541</v>
      </c>
      <c r="AK10" s="44" t="n">
        <v>0.412414532645025</v>
      </c>
      <c r="AL10" s="44" t="n">
        <v>0.0808636664798527</v>
      </c>
      <c r="AM10" s="44" t="n">
        <v>0.00555829222443455</v>
      </c>
      <c r="AN10" s="44" t="n">
        <v>2.11254223820764E-005</v>
      </c>
      <c r="AO10" s="44" t="n">
        <v>2.38794608549602E-006</v>
      </c>
      <c r="AP10" s="44" t="n">
        <v>0.000580552194350624</v>
      </c>
      <c r="AQ10" s="44" t="n">
        <v>0.000155678385430806</v>
      </c>
      <c r="AR10" s="44"/>
      <c r="AS10" s="44" t="n">
        <v>1.84504868419414E-006</v>
      </c>
      <c r="AT10" s="44" t="n">
        <v>5.55184363657816E-009</v>
      </c>
      <c r="AU10" s="44" t="n">
        <v>1.52362631506197E-013</v>
      </c>
      <c r="AV10" s="44" t="n">
        <v>2.08033583970775E-009</v>
      </c>
      <c r="AW10" s="44" t="n">
        <v>9.5371304578663E-010</v>
      </c>
      <c r="AX10" s="44" t="n">
        <v>1.64167664160774E-008</v>
      </c>
      <c r="AY10" s="44" t="n">
        <v>2.41633674026644E-005</v>
      </c>
      <c r="AZ10" s="44" t="n">
        <v>2.37573400921107E-009</v>
      </c>
      <c r="BA10" s="44" t="n">
        <v>2.29516913239681E-008</v>
      </c>
      <c r="BB10" s="44" t="n">
        <v>1.13432729971708E-008</v>
      </c>
      <c r="BC10" s="44" t="n">
        <v>6.54053483916121E-013</v>
      </c>
      <c r="BD10" s="44" t="n">
        <v>8.88643387439773E-009</v>
      </c>
      <c r="BE10" s="44" t="n">
        <v>9.82585112097276E-009</v>
      </c>
      <c r="BF10" s="44" t="n">
        <v>1.88386820110616E-009</v>
      </c>
      <c r="BG10" s="44" t="n">
        <v>2.76569559138975E-006</v>
      </c>
      <c r="BH10" s="44" t="n">
        <v>3.9774934674092E-005</v>
      </c>
      <c r="BI10" s="44" t="n">
        <v>1.15586639689268E-009</v>
      </c>
      <c r="BJ10" s="44" t="n">
        <v>0.0662610562273614</v>
      </c>
      <c r="BK10" s="44" t="n">
        <v>0.134582547811621</v>
      </c>
      <c r="BL10" s="44" t="n">
        <v>7.94865793307936E-008</v>
      </c>
      <c r="BM10" s="44" t="n">
        <v>5.06572614627343E-010</v>
      </c>
      <c r="BN10" s="44" t="n">
        <v>3.17534469330822E-014</v>
      </c>
      <c r="BO10" s="44"/>
      <c r="BP10" s="44" t="n">
        <v>6.86479837469726E-005</v>
      </c>
      <c r="BQ10" s="44" t="n">
        <v>6.44819723444872E-008</v>
      </c>
      <c r="BR10" s="44" t="n">
        <v>0.200843604038982</v>
      </c>
      <c r="BS10" s="44"/>
      <c r="BT10" s="44" t="n">
        <v>0.00286010039213785</v>
      </c>
      <c r="BU10" s="44" t="n">
        <v>4.35921130329517E-005</v>
      </c>
      <c r="BV10" s="44" t="n">
        <v>7.16446270665085E-006</v>
      </c>
      <c r="BW10" s="44"/>
      <c r="BX10" s="44" t="n">
        <v>1144.04015685514</v>
      </c>
      <c r="BY10" s="44" t="n">
        <v>17.4368452131807</v>
      </c>
      <c r="BZ10" s="44" t="n">
        <v>1.43289254133017</v>
      </c>
    </row>
    <row r="11" customFormat="false" ht="12.75" hidden="false" customHeight="false" outlineLevel="0" collapsed="false">
      <c r="B11" s="1" t="s">
        <v>144</v>
      </c>
      <c r="C11" s="1" t="s">
        <v>137</v>
      </c>
      <c r="F11" s="1" t="s">
        <v>145</v>
      </c>
      <c r="G11" s="44" t="n">
        <v>0.000484</v>
      </c>
      <c r="H11" s="44" t="n">
        <v>4.38E-010</v>
      </c>
      <c r="I11" s="44" t="n">
        <v>3.21E-005</v>
      </c>
      <c r="J11" s="44" t="n">
        <v>1.14E-006</v>
      </c>
      <c r="K11" s="44" t="n">
        <v>1.25E-006</v>
      </c>
      <c r="L11" s="44" t="n">
        <v>1.18E-006</v>
      </c>
      <c r="M11" s="44" t="n">
        <v>3.13E-006</v>
      </c>
      <c r="N11" s="44" t="n">
        <v>2.17E-007</v>
      </c>
      <c r="O11" s="44" t="n">
        <v>1.69E-008</v>
      </c>
      <c r="P11" s="44" t="n">
        <v>0.00717</v>
      </c>
      <c r="Q11" s="44" t="n">
        <v>7.05E-005</v>
      </c>
      <c r="R11" s="44" t="n">
        <v>9.23E-005</v>
      </c>
      <c r="S11" s="44" t="n">
        <v>5.41E-005</v>
      </c>
      <c r="T11" s="44" t="n">
        <v>0.0014</v>
      </c>
      <c r="U11" s="44" t="n">
        <v>1.2E-005</v>
      </c>
      <c r="V11" s="44" t="n">
        <v>5.81E-006</v>
      </c>
      <c r="W11" s="44" t="n">
        <v>0.000114</v>
      </c>
      <c r="X11" s="44" t="n">
        <v>0.000965</v>
      </c>
      <c r="Y11" s="44"/>
      <c r="Z11" s="44" t="n">
        <v>6.04746331236897E-008</v>
      </c>
      <c r="AA11" s="44" t="n">
        <v>7.31006896551724E-009</v>
      </c>
      <c r="AB11" s="44" t="n">
        <v>6.68064102564103E-008</v>
      </c>
      <c r="AC11" s="44" t="n">
        <v>5.53867924528302E-008</v>
      </c>
      <c r="AD11" s="44" t="n">
        <v>4.88636363636364E-008</v>
      </c>
      <c r="AE11" s="44" t="n">
        <v>6.65687789799073E-008</v>
      </c>
      <c r="AF11" s="44" t="n">
        <v>7.62889434889435E-008</v>
      </c>
      <c r="AG11" s="44" t="n">
        <v>3.34610687022901E-007</v>
      </c>
      <c r="AH11" s="44" t="n">
        <v>3.68178571428571E-009</v>
      </c>
      <c r="AI11" s="44" t="n">
        <v>4.72514754098361E-007</v>
      </c>
      <c r="AJ11" s="44" t="n">
        <v>2.79220430107527E-006</v>
      </c>
      <c r="AK11" s="44" t="n">
        <v>2.12394886363636E-006</v>
      </c>
      <c r="AL11" s="44" t="n">
        <v>5.25591772151899E-006</v>
      </c>
      <c r="AM11" s="44" t="n">
        <v>4.47507331378299E-008</v>
      </c>
      <c r="AN11" s="44" t="n">
        <v>1.94322580645161E-009</v>
      </c>
      <c r="AO11" s="44" t="n">
        <v>4.8606875E-011</v>
      </c>
      <c r="AP11" s="44" t="n">
        <v>1.16111111111111E-007</v>
      </c>
      <c r="AQ11" s="44" t="n">
        <v>3.61158415841584E-006</v>
      </c>
      <c r="AR11" s="44"/>
      <c r="AS11" s="44" t="n">
        <v>4.484863548E-010</v>
      </c>
      <c r="AT11" s="44" t="n">
        <v>1.34951784E-012</v>
      </c>
      <c r="AU11" s="44" t="n">
        <v>3.703564128E-017</v>
      </c>
      <c r="AV11" s="44" t="n">
        <v>2.32593111E-013</v>
      </c>
      <c r="AW11" s="44" t="n">
        <v>2.729871954E-013</v>
      </c>
      <c r="AX11" s="44" t="n">
        <v>1.037830236E-012</v>
      </c>
      <c r="AY11" s="44" t="n">
        <v>7.84090875E-010</v>
      </c>
      <c r="AZ11" s="44" t="n">
        <v>1.52287496E-013</v>
      </c>
      <c r="BA11" s="44" t="n">
        <v>6.62913968E-013</v>
      </c>
      <c r="BB11" s="44" t="n">
        <v>1.45439693E-013</v>
      </c>
      <c r="BC11" s="44" t="n">
        <v>2.88507167E-017</v>
      </c>
      <c r="BD11" s="44" t="n">
        <v>8.20435854E-014</v>
      </c>
      <c r="BE11" s="44" t="n">
        <v>4.876881915E-014</v>
      </c>
      <c r="BF11" s="44" t="n">
        <v>9.70198528E-015</v>
      </c>
      <c r="BG11" s="44" t="n">
        <v>1.797626685E-010</v>
      </c>
      <c r="BH11" s="44" t="n">
        <v>3.202346E-010</v>
      </c>
      <c r="BI11" s="44" t="n">
        <v>1.0632258E-013</v>
      </c>
      <c r="BJ11" s="44" t="n">
        <v>1.348750249E-006</v>
      </c>
      <c r="BK11" s="44" t="n">
        <v>2.69166654E-005</v>
      </c>
      <c r="BL11" s="44" t="n">
        <v>1.844009815E-009</v>
      </c>
      <c r="BM11" s="44" t="n">
        <v>1.17519823E-011</v>
      </c>
      <c r="BN11" s="44" t="n">
        <v>7.366484795E-016</v>
      </c>
      <c r="BO11" s="44"/>
      <c r="BP11" s="44" t="n">
        <v>3.5781277238424E-009</v>
      </c>
      <c r="BQ11" s="44" t="n">
        <v>1.43097808016675E-011</v>
      </c>
      <c r="BR11" s="44" t="n">
        <v>2.8265415649E-005</v>
      </c>
      <c r="BS11" s="44"/>
      <c r="BT11" s="44" t="n">
        <v>1.49076548902025E-007</v>
      </c>
      <c r="BU11" s="44" t="n">
        <v>9.67392217549594E-009</v>
      </c>
      <c r="BV11" s="44" t="n">
        <v>1.00827963765249E-009</v>
      </c>
      <c r="BW11" s="44"/>
      <c r="BX11" s="44" t="n">
        <v>0.0596306195608099</v>
      </c>
      <c r="BY11" s="44" t="n">
        <v>0.00386956887019838</v>
      </c>
      <c r="BZ11" s="44" t="n">
        <v>0.000201655927530499</v>
      </c>
    </row>
    <row r="12" customFormat="false" ht="26.25" hidden="false" customHeight="true" outlineLevel="0" collapsed="false">
      <c r="B12" s="1" t="s">
        <v>146</v>
      </c>
      <c r="C12" s="1" t="s">
        <v>100</v>
      </c>
      <c r="F12" s="46" t="s">
        <v>147</v>
      </c>
      <c r="G12" s="47" t="n">
        <v>0.286</v>
      </c>
      <c r="H12" s="48" t="n">
        <v>8.23E-007</v>
      </c>
      <c r="I12" s="49" t="n">
        <v>0.0106</v>
      </c>
      <c r="J12" s="49" t="n">
        <v>0.000682</v>
      </c>
      <c r="K12" s="49" t="n">
        <v>0.000426</v>
      </c>
      <c r="L12" s="49" t="n">
        <v>0.000703</v>
      </c>
      <c r="M12" s="49" t="n">
        <v>0.000832</v>
      </c>
      <c r="N12" s="49" t="n">
        <v>0.00635</v>
      </c>
      <c r="O12" s="49" t="n">
        <v>0.00226</v>
      </c>
      <c r="P12" s="47" t="n">
        <v>1.21</v>
      </c>
      <c r="Q12" s="49" t="n">
        <v>0.0391</v>
      </c>
      <c r="R12" s="49" t="n">
        <v>0.0531</v>
      </c>
      <c r="S12" s="49" t="n">
        <v>0.0492</v>
      </c>
      <c r="T12" s="47" t="n">
        <v>2.2</v>
      </c>
      <c r="U12" s="49" t="n">
        <v>0.00575</v>
      </c>
      <c r="V12" s="49" t="n">
        <v>0.00219</v>
      </c>
      <c r="W12" s="49" t="n">
        <v>0.0579</v>
      </c>
      <c r="X12" s="47" t="n">
        <v>-1.9</v>
      </c>
      <c r="Z12" s="44" t="n">
        <v>3.57350104821803E-005</v>
      </c>
      <c r="AA12" s="1" t="n">
        <v>1.37355862068966E-005</v>
      </c>
      <c r="AB12" s="1" t="n">
        <v>2.20606837606838E-005</v>
      </c>
      <c r="AC12" s="1" t="n">
        <v>3.31349056603774E-005</v>
      </c>
      <c r="AD12" s="1" t="n">
        <v>1.66527272727273E-005</v>
      </c>
      <c r="AE12" s="1" t="n">
        <v>3.96591962905719E-005</v>
      </c>
      <c r="AF12" s="1" t="n">
        <v>2.02787223587224E-005</v>
      </c>
      <c r="AG12" s="1" t="n">
        <v>0.00979160305343511</v>
      </c>
      <c r="AH12" s="1" t="n">
        <v>0.000492357142857143</v>
      </c>
      <c r="AI12" s="1" t="n">
        <v>7.97409836065574E-005</v>
      </c>
      <c r="AJ12" s="1" t="n">
        <v>0.00154858422939068</v>
      </c>
      <c r="AK12" s="1" t="n">
        <v>0.00122190340909091</v>
      </c>
      <c r="AL12" s="1" t="n">
        <v>0.00477987341772152</v>
      </c>
      <c r="AM12" s="1" t="n">
        <v>7.03225806451613E-005</v>
      </c>
      <c r="AN12" s="1" t="n">
        <v>9.31129032258065E-007</v>
      </c>
      <c r="AO12" s="1" t="n">
        <v>1.83216964285714E-008</v>
      </c>
      <c r="AP12" s="1" t="n">
        <v>5.89722222222222E-005</v>
      </c>
      <c r="AQ12" s="1" t="n">
        <v>-0.00711089108910891</v>
      </c>
      <c r="AS12" s="1" t="n">
        <v>2.650146642E-007</v>
      </c>
      <c r="AT12" s="1" t="n">
        <v>7.9744236E-010</v>
      </c>
      <c r="AU12" s="1" t="n">
        <v>2.188469712E-014</v>
      </c>
      <c r="AV12" s="1" t="n">
        <v>4.370413935E-010</v>
      </c>
      <c r="AW12" s="1" t="n">
        <v>9.01453044E-011</v>
      </c>
      <c r="AX12" s="1" t="n">
        <v>6.208773868E-010</v>
      </c>
      <c r="AY12" s="1" t="n">
        <v>2.672181702E-007</v>
      </c>
      <c r="AZ12" s="1" t="n">
        <v>9.07272116E-011</v>
      </c>
      <c r="BA12" s="1" t="n">
        <v>1.762122752E-010</v>
      </c>
      <c r="BB12" s="1" t="n">
        <v>4.25595415E-009</v>
      </c>
      <c r="BC12" s="1" t="n">
        <v>3.85814318E-012</v>
      </c>
      <c r="BD12" s="1" t="n">
        <v>1.38455702E-011</v>
      </c>
      <c r="BE12" s="1" t="n">
        <v>2.704767133E-011</v>
      </c>
      <c r="BF12" s="1" t="n">
        <v>5.58153216E-012</v>
      </c>
      <c r="BG12" s="1" t="n">
        <v>1.63481022E-007</v>
      </c>
      <c r="BH12" s="1" t="n">
        <v>5.032258E-007</v>
      </c>
      <c r="BI12" s="1" t="n">
        <v>5.094623625E-011</v>
      </c>
      <c r="BJ12" s="1" t="n">
        <v>0.000508392951</v>
      </c>
      <c r="BK12" s="1" t="n">
        <v>0.01367083269</v>
      </c>
      <c r="BL12" s="1" t="n">
        <v>-3.6306929E-006</v>
      </c>
      <c r="BM12" s="1" t="n">
        <v>-2.3138618E-008</v>
      </c>
      <c r="BN12" s="1" t="n">
        <v>-1.45039597E-012</v>
      </c>
      <c r="BP12" s="1" t="n">
        <v>-2.4306051795153E-006</v>
      </c>
      <c r="BQ12" s="1" t="n">
        <v>-1.77184313613529E-008</v>
      </c>
      <c r="BR12" s="1" t="n">
        <v>0.014179225641</v>
      </c>
      <c r="BT12" s="1" t="n">
        <v>-0.000101266992089488</v>
      </c>
      <c r="BU12" s="1" t="n">
        <v>-1.19782915222308E-005</v>
      </c>
      <c r="BV12" s="1" t="n">
        <v>5.05799195350103E-007</v>
      </c>
      <c r="BX12" s="1" t="n">
        <v>-40.5067968357953</v>
      </c>
      <c r="BY12" s="1" t="n">
        <v>-4.79131660889231</v>
      </c>
      <c r="BZ12" s="1" t="n">
        <v>0.101159839070021</v>
      </c>
    </row>
    <row r="17" customFormat="false" ht="14.25" hidden="false" customHeight="true" outlineLevel="0" collapsed="false">
      <c r="F17" s="47"/>
      <c r="G17" s="50"/>
      <c r="H17" s="50"/>
      <c r="I17" s="47"/>
      <c r="J17" s="47"/>
    </row>
    <row r="18" customFormat="false" ht="14.25" hidden="false" customHeight="true" outlineLevel="0" collapsed="false">
      <c r="F18" s="49"/>
      <c r="G18" s="51"/>
      <c r="H18" s="51"/>
      <c r="I18" s="47"/>
      <c r="J18" s="47"/>
    </row>
    <row r="19" customFormat="false" ht="14.25" hidden="false" customHeight="true" outlineLevel="0" collapsed="false">
      <c r="F19" s="49"/>
      <c r="G19" s="51"/>
      <c r="H19" s="51"/>
      <c r="I19" s="48"/>
      <c r="J19" s="48"/>
    </row>
    <row r="20" customFormat="false" ht="14.25" hidden="false" customHeight="true" outlineLevel="0" collapsed="false">
      <c r="F20" s="49"/>
      <c r="G20" s="51"/>
      <c r="H20" s="51"/>
      <c r="I20" s="49"/>
      <c r="J20" s="49"/>
    </row>
    <row r="21" customFormat="false" ht="14.25" hidden="false" customHeight="true" outlineLevel="0" collapsed="false">
      <c r="F21" s="49"/>
      <c r="G21" s="51"/>
      <c r="H21" s="51"/>
      <c r="I21" s="49"/>
      <c r="J21" s="49"/>
    </row>
    <row r="22" customFormat="false" ht="14.25" hidden="false" customHeight="true" outlineLevel="0" collapsed="false">
      <c r="F22" s="49"/>
      <c r="G22" s="51"/>
      <c r="H22" s="51"/>
      <c r="I22" s="49"/>
      <c r="J22" s="49"/>
    </row>
    <row r="23" customFormat="false" ht="14.25" hidden="false" customHeight="true" outlineLevel="0" collapsed="false">
      <c r="F23" s="49"/>
      <c r="G23" s="51"/>
      <c r="H23" s="51"/>
      <c r="I23" s="49"/>
      <c r="J23" s="49"/>
    </row>
    <row r="24" customFormat="false" ht="14.25" hidden="false" customHeight="true" outlineLevel="0" collapsed="false">
      <c r="F24" s="49"/>
      <c r="G24" s="51"/>
      <c r="H24" s="51"/>
      <c r="I24" s="49"/>
      <c r="J24" s="49"/>
    </row>
    <row r="25" customFormat="false" ht="14.25" hidden="false" customHeight="true" outlineLevel="0" collapsed="false">
      <c r="F25" s="49"/>
      <c r="G25" s="51"/>
      <c r="H25" s="51"/>
      <c r="I25" s="49"/>
      <c r="J25" s="49"/>
    </row>
    <row r="26" customFormat="false" ht="14.25" hidden="false" customHeight="true" outlineLevel="0" collapsed="false">
      <c r="F26" s="49"/>
      <c r="G26" s="51"/>
      <c r="H26" s="51"/>
      <c r="I26" s="49"/>
      <c r="J26" s="49"/>
    </row>
    <row r="27" customFormat="false" ht="14.25" hidden="false" customHeight="true" outlineLevel="0" collapsed="false">
      <c r="F27" s="49"/>
      <c r="G27" s="51"/>
      <c r="H27" s="51"/>
      <c r="I27" s="47"/>
      <c r="J27" s="47"/>
    </row>
    <row r="28" customFormat="false" ht="14.25" hidden="false" customHeight="true" outlineLevel="0" collapsed="false">
      <c r="F28" s="49"/>
      <c r="G28" s="51"/>
      <c r="H28" s="51"/>
      <c r="I28" s="49"/>
      <c r="J28" s="49"/>
    </row>
    <row r="29" customFormat="false" ht="14.25" hidden="false" customHeight="true" outlineLevel="0" collapsed="false">
      <c r="F29" s="49"/>
      <c r="G29" s="51"/>
      <c r="H29" s="51"/>
      <c r="I29" s="49"/>
      <c r="J29" s="49"/>
    </row>
    <row r="30" customFormat="false" ht="14.25" hidden="false" customHeight="true" outlineLevel="0" collapsed="false">
      <c r="F30" s="49"/>
      <c r="G30" s="51"/>
      <c r="H30" s="51"/>
      <c r="I30" s="49"/>
      <c r="J30" s="49"/>
    </row>
    <row r="31" customFormat="false" ht="14.25" hidden="false" customHeight="true" outlineLevel="0" collapsed="false">
      <c r="F31" s="49"/>
      <c r="G31" s="51"/>
      <c r="H31" s="51"/>
      <c r="I31" s="47"/>
      <c r="J31" s="47"/>
    </row>
    <row r="32" customFormat="false" ht="14.25" hidden="false" customHeight="true" outlineLevel="0" collapsed="false">
      <c r="F32" s="49"/>
      <c r="G32" s="51"/>
      <c r="H32" s="51"/>
      <c r="I32" s="49"/>
      <c r="J32" s="49"/>
    </row>
    <row r="33" customFormat="false" ht="14.25" hidden="false" customHeight="true" outlineLevel="0" collapsed="false">
      <c r="F33" s="49"/>
      <c r="G33" s="51"/>
      <c r="H33" s="51"/>
      <c r="I33" s="49"/>
      <c r="J33" s="49"/>
    </row>
    <row r="34" customFormat="false" ht="14.25" hidden="false" customHeight="true" outlineLevel="0" collapsed="false">
      <c r="F34" s="49"/>
      <c r="G34" s="51"/>
      <c r="H34" s="51"/>
      <c r="I34" s="49"/>
      <c r="J34" s="49"/>
    </row>
    <row r="35" customFormat="false" ht="14.25" hidden="false" customHeight="true" outlineLevel="0" collapsed="false">
      <c r="F35" s="49"/>
      <c r="G35" s="51"/>
      <c r="H35" s="51"/>
      <c r="I35" s="47"/>
      <c r="J35" s="47"/>
    </row>
  </sheetData>
  <mergeCells count="9">
    <mergeCell ref="F1:F2"/>
    <mergeCell ref="G1:X1"/>
    <mergeCell ref="AS1:BZ1"/>
    <mergeCell ref="G2:X2"/>
    <mergeCell ref="Z2:AQ2"/>
    <mergeCell ref="AS2:BN2"/>
    <mergeCell ref="BP2:BR2"/>
    <mergeCell ref="BT2:BV2"/>
    <mergeCell ref="BX2:B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27"/>
  <sheetViews>
    <sheetView showFormulas="false" showGridLines="true" showRowColHeaders="true" showZeros="true" rightToLeft="false" tabSelected="false" showOutlineSymbols="true" defaultGridColor="true" view="normal" topLeftCell="AW1" colorId="64" zoomScale="70" zoomScaleNormal="70" zoomScalePageLayoutView="100" workbookViewId="0">
      <selection pane="topLeft" activeCell="BX2" activeCellId="0" sqref="BX2"/>
    </sheetView>
  </sheetViews>
  <sheetFormatPr defaultColWidth="13.21875" defaultRowHeight="14.25" zeroHeight="false" outlineLevelRow="0" outlineLevelCol="0"/>
  <sheetData>
    <row r="1" customFormat="false" ht="28.5" hidden="false" customHeight="true" outlineLevel="0" collapsed="false">
      <c r="A1" s="51" t="s">
        <v>148</v>
      </c>
      <c r="B1" s="49" t="s">
        <v>149</v>
      </c>
      <c r="C1" s="47" t="s">
        <v>150</v>
      </c>
      <c r="D1" s="11" t="s">
        <v>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6"/>
      <c r="W1" s="12" t="s">
        <v>8</v>
      </c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6"/>
      <c r="AP1" s="11" t="s">
        <v>9</v>
      </c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3" t="s">
        <v>10</v>
      </c>
      <c r="BN1" s="13"/>
      <c r="BO1" s="13"/>
      <c r="BP1" s="6"/>
      <c r="BQ1" s="14" t="s">
        <v>11</v>
      </c>
      <c r="BR1" s="14"/>
      <c r="BS1" s="14"/>
      <c r="BT1" s="6"/>
      <c r="BU1" s="15" t="s">
        <v>12</v>
      </c>
      <c r="BV1" s="15"/>
      <c r="BW1" s="15"/>
    </row>
    <row r="2" customFormat="false" ht="52.5" hidden="false" customHeight="true" outlineLevel="0" collapsed="false">
      <c r="D2" s="19" t="s">
        <v>15</v>
      </c>
      <c r="E2" s="19" t="s">
        <v>16</v>
      </c>
      <c r="F2" s="19" t="s">
        <v>17</v>
      </c>
      <c r="G2" s="19" t="s">
        <v>18</v>
      </c>
      <c r="H2" s="19" t="s">
        <v>19</v>
      </c>
      <c r="I2" s="19" t="s">
        <v>20</v>
      </c>
      <c r="J2" s="19" t="s">
        <v>21</v>
      </c>
      <c r="K2" s="19" t="s">
        <v>22</v>
      </c>
      <c r="L2" s="19" t="s">
        <v>23</v>
      </c>
      <c r="M2" s="19" t="s">
        <v>24</v>
      </c>
      <c r="N2" s="19" t="s">
        <v>25</v>
      </c>
      <c r="O2" s="19" t="s">
        <v>26</v>
      </c>
      <c r="P2" s="19" t="s">
        <v>27</v>
      </c>
      <c r="Q2" s="19" t="s">
        <v>28</v>
      </c>
      <c r="R2" s="19" t="s">
        <v>29</v>
      </c>
      <c r="S2" s="19" t="s">
        <v>30</v>
      </c>
      <c r="T2" s="19" t="s">
        <v>31</v>
      </c>
      <c r="U2" s="19" t="s">
        <v>32</v>
      </c>
      <c r="V2" s="20"/>
      <c r="W2" s="21" t="str">
        <f aca="false" t="array" ref="W2:AN2">D2:U2</f>
        <v>Global warming</v>
      </c>
      <c r="X2" s="21" t="str">
        <v>Stratospheric ozone depletion</v>
      </c>
      <c r="Y2" s="21" t="str">
        <v>Ionizing radiation</v>
      </c>
      <c r="Z2" s="21" t="str">
        <v>Ozone formation, Human health</v>
      </c>
      <c r="AA2" s="21" t="str">
        <v>Fine particulate matter formation</v>
      </c>
      <c r="AB2" s="21" t="str">
        <v>Ozone formation, Terrestrial ecosystems</v>
      </c>
      <c r="AC2" s="21" t="str">
        <v>Terrestrial acidification</v>
      </c>
      <c r="AD2" s="21" t="str">
        <v>Freshwater eutrophication</v>
      </c>
      <c r="AE2" s="21" t="str">
        <v>Marine eutrophication</v>
      </c>
      <c r="AF2" s="21" t="str">
        <v>Terrestrial ecotoxicity</v>
      </c>
      <c r="AG2" s="21" t="str">
        <v>Freshwater ecotoxicity</v>
      </c>
      <c r="AH2" s="21" t="str">
        <v>Marine ecotoxicity</v>
      </c>
      <c r="AI2" s="21" t="str">
        <v>Human carcinogenic toxicity</v>
      </c>
      <c r="AJ2" s="21" t="str">
        <v>Human non-carcinogenic toxicity</v>
      </c>
      <c r="AK2" s="21" t="str">
        <v>Land use</v>
      </c>
      <c r="AL2" s="21" t="str">
        <v>Mineral resource scarcity</v>
      </c>
      <c r="AM2" s="21" t="str">
        <v>Fossil resource scarcity</v>
      </c>
      <c r="AN2" s="21" t="str">
        <v>Water consumption</v>
      </c>
      <c r="AO2" s="20"/>
      <c r="AP2" s="22" t="s">
        <v>33</v>
      </c>
      <c r="AQ2" s="22" t="s">
        <v>34</v>
      </c>
      <c r="AR2" s="22" t="s">
        <v>35</v>
      </c>
      <c r="AS2" s="23" t="s">
        <v>16</v>
      </c>
      <c r="AT2" s="23" t="s">
        <v>17</v>
      </c>
      <c r="AU2" s="23" t="s">
        <v>18</v>
      </c>
      <c r="AV2" s="23" t="s">
        <v>19</v>
      </c>
      <c r="AW2" s="24" t="s">
        <v>20</v>
      </c>
      <c r="AX2" s="24" t="s">
        <v>21</v>
      </c>
      <c r="AY2" s="24" t="s">
        <v>22</v>
      </c>
      <c r="AZ2" s="24" t="s">
        <v>23</v>
      </c>
      <c r="BA2" s="24" t="s">
        <v>24</v>
      </c>
      <c r="BB2" s="24" t="s">
        <v>25</v>
      </c>
      <c r="BC2" s="24" t="s">
        <v>26</v>
      </c>
      <c r="BD2" s="23" t="s">
        <v>27</v>
      </c>
      <c r="BE2" s="23" t="s">
        <v>28</v>
      </c>
      <c r="BF2" s="24" t="s">
        <v>29</v>
      </c>
      <c r="BG2" s="25" t="s">
        <v>30</v>
      </c>
      <c r="BH2" s="25" t="s">
        <v>31</v>
      </c>
      <c r="BI2" s="23" t="s">
        <v>36</v>
      </c>
      <c r="BJ2" s="24" t="s">
        <v>37</v>
      </c>
      <c r="BK2" s="24" t="s">
        <v>38</v>
      </c>
      <c r="BL2" s="20"/>
      <c r="BM2" s="26" t="s">
        <v>39</v>
      </c>
      <c r="BN2" s="26" t="s">
        <v>40</v>
      </c>
      <c r="BO2" s="26" t="s">
        <v>41</v>
      </c>
      <c r="BP2" s="20"/>
      <c r="BQ2" s="20" t="s">
        <v>42</v>
      </c>
      <c r="BR2" s="20" t="s">
        <v>43</v>
      </c>
      <c r="BS2" s="20" t="s">
        <v>44</v>
      </c>
      <c r="BT2" s="20"/>
      <c r="BU2" s="20" t="s">
        <v>42</v>
      </c>
      <c r="BV2" s="20" t="s">
        <v>43</v>
      </c>
      <c r="BW2" s="20" t="s">
        <v>44</v>
      </c>
      <c r="BX2" s="52" t="s">
        <v>151</v>
      </c>
    </row>
    <row r="3" customFormat="false" ht="27" hidden="false" customHeight="true" outlineLevel="0" collapsed="false">
      <c r="D3" s="19" t="s">
        <v>46</v>
      </c>
      <c r="E3" s="19" t="s">
        <v>47</v>
      </c>
      <c r="F3" s="19" t="s">
        <v>48</v>
      </c>
      <c r="G3" s="19" t="s">
        <v>49</v>
      </c>
      <c r="H3" s="19" t="s">
        <v>50</v>
      </c>
      <c r="I3" s="19" t="s">
        <v>51</v>
      </c>
      <c r="J3" s="19" t="s">
        <v>52</v>
      </c>
      <c r="K3" s="19" t="s">
        <v>53</v>
      </c>
      <c r="L3" s="19" t="s">
        <v>54</v>
      </c>
      <c r="M3" s="19" t="s">
        <v>55</v>
      </c>
      <c r="N3" s="19" t="s">
        <v>56</v>
      </c>
      <c r="O3" s="19" t="s">
        <v>57</v>
      </c>
      <c r="P3" s="19" t="s">
        <v>58</v>
      </c>
      <c r="Q3" s="19" t="s">
        <v>59</v>
      </c>
      <c r="R3" s="19" t="s">
        <v>60</v>
      </c>
      <c r="S3" s="19" t="s">
        <v>61</v>
      </c>
      <c r="T3" s="19" t="s">
        <v>62</v>
      </c>
      <c r="U3" s="19" t="s">
        <v>63</v>
      </c>
      <c r="V3" s="20"/>
      <c r="W3" s="19" t="s">
        <v>46</v>
      </c>
      <c r="X3" s="19" t="s">
        <v>47</v>
      </c>
      <c r="Y3" s="19" t="s">
        <v>48</v>
      </c>
      <c r="Z3" s="19" t="s">
        <v>49</v>
      </c>
      <c r="AA3" s="19" t="s">
        <v>50</v>
      </c>
      <c r="AB3" s="19" t="s">
        <v>51</v>
      </c>
      <c r="AC3" s="19" t="s">
        <v>52</v>
      </c>
      <c r="AD3" s="19" t="s">
        <v>53</v>
      </c>
      <c r="AE3" s="19" t="s">
        <v>54</v>
      </c>
      <c r="AF3" s="19" t="s">
        <v>55</v>
      </c>
      <c r="AG3" s="19" t="s">
        <v>56</v>
      </c>
      <c r="AH3" s="19" t="s">
        <v>57</v>
      </c>
      <c r="AI3" s="19" t="s">
        <v>58</v>
      </c>
      <c r="AJ3" s="19" t="s">
        <v>59</v>
      </c>
      <c r="AK3" s="19" t="s">
        <v>60</v>
      </c>
      <c r="AL3" s="19" t="s">
        <v>61</v>
      </c>
      <c r="AM3" s="19" t="s">
        <v>62</v>
      </c>
      <c r="AN3" s="19" t="s">
        <v>63</v>
      </c>
      <c r="AO3" s="20"/>
      <c r="AP3" s="22" t="s">
        <v>64</v>
      </c>
      <c r="AQ3" s="22" t="s">
        <v>65</v>
      </c>
      <c r="AR3" s="22" t="s">
        <v>66</v>
      </c>
      <c r="AS3" s="23" t="s">
        <v>67</v>
      </c>
      <c r="AT3" s="23" t="s">
        <v>68</v>
      </c>
      <c r="AU3" s="23" t="s">
        <v>49</v>
      </c>
      <c r="AV3" s="23" t="s">
        <v>69</v>
      </c>
      <c r="AW3" s="24" t="s">
        <v>51</v>
      </c>
      <c r="AX3" s="24" t="s">
        <v>70</v>
      </c>
      <c r="AY3" s="24" t="s">
        <v>71</v>
      </c>
      <c r="AZ3" s="24" t="s">
        <v>54</v>
      </c>
      <c r="BA3" s="24" t="s">
        <v>55</v>
      </c>
      <c r="BB3" s="24" t="s">
        <v>56</v>
      </c>
      <c r="BC3" s="24" t="s">
        <v>57</v>
      </c>
      <c r="BD3" s="23" t="s">
        <v>72</v>
      </c>
      <c r="BE3" s="23" t="s">
        <v>73</v>
      </c>
      <c r="BF3" s="24" t="s">
        <v>74</v>
      </c>
      <c r="BG3" s="25" t="s">
        <v>75</v>
      </c>
      <c r="BH3" s="25" t="s">
        <v>76</v>
      </c>
      <c r="BI3" s="23" t="s">
        <v>77</v>
      </c>
      <c r="BJ3" s="24" t="s">
        <v>78</v>
      </c>
      <c r="BK3" s="24" t="s">
        <v>79</v>
      </c>
      <c r="BL3" s="20"/>
      <c r="BM3" s="27" t="s">
        <v>80</v>
      </c>
      <c r="BN3" s="28" t="s">
        <v>81</v>
      </c>
      <c r="BO3" s="29" t="s">
        <v>82</v>
      </c>
      <c r="BP3" s="20"/>
      <c r="BQ3" s="30" t="s">
        <v>83</v>
      </c>
      <c r="BR3" s="30" t="s">
        <v>84</v>
      </c>
      <c r="BS3" s="30" t="s">
        <v>85</v>
      </c>
      <c r="BT3" s="20"/>
      <c r="BU3" s="20" t="s">
        <v>86</v>
      </c>
      <c r="BV3" s="20" t="s">
        <v>86</v>
      </c>
      <c r="BW3" s="20" t="s">
        <v>86</v>
      </c>
      <c r="BX3" s="52" t="s">
        <v>86</v>
      </c>
    </row>
    <row r="4" customFormat="false" ht="39" hidden="false" customHeight="true" outlineLevel="0" collapsed="false">
      <c r="D4" s="20" t="s">
        <v>88</v>
      </c>
      <c r="E4" s="20" t="s">
        <v>89</v>
      </c>
      <c r="F4" s="20" t="s">
        <v>90</v>
      </c>
      <c r="G4" s="20" t="s">
        <v>91</v>
      </c>
      <c r="H4" s="20" t="s">
        <v>92</v>
      </c>
      <c r="I4" s="20" t="s">
        <v>91</v>
      </c>
      <c r="J4" s="20" t="s">
        <v>93</v>
      </c>
      <c r="K4" s="20" t="s">
        <v>94</v>
      </c>
      <c r="L4" s="20" t="s">
        <v>95</v>
      </c>
      <c r="M4" s="20" t="s">
        <v>96</v>
      </c>
      <c r="N4" s="20" t="s">
        <v>96</v>
      </c>
      <c r="O4" s="20" t="s">
        <v>96</v>
      </c>
      <c r="P4" s="20" t="s">
        <v>96</v>
      </c>
      <c r="Q4" s="20" t="s">
        <v>96</v>
      </c>
      <c r="R4" s="20" t="s">
        <v>97</v>
      </c>
      <c r="S4" s="20" t="s">
        <v>98</v>
      </c>
      <c r="T4" s="20" t="s">
        <v>99</v>
      </c>
      <c r="U4" s="20" t="s">
        <v>100</v>
      </c>
      <c r="V4" s="20"/>
      <c r="W4" s="21" t="s">
        <v>101</v>
      </c>
      <c r="X4" s="21" t="s">
        <v>102</v>
      </c>
      <c r="Y4" s="21" t="s">
        <v>103</v>
      </c>
      <c r="Z4" s="21" t="s">
        <v>104</v>
      </c>
      <c r="AA4" s="21" t="s">
        <v>105</v>
      </c>
      <c r="AB4" s="21" t="s">
        <v>104</v>
      </c>
      <c r="AC4" s="21" t="s">
        <v>106</v>
      </c>
      <c r="AD4" s="21" t="s">
        <v>107</v>
      </c>
      <c r="AE4" s="21" t="s">
        <v>108</v>
      </c>
      <c r="AF4" s="21" t="s">
        <v>109</v>
      </c>
      <c r="AG4" s="21" t="s">
        <v>109</v>
      </c>
      <c r="AH4" s="21" t="s">
        <v>109</v>
      </c>
      <c r="AI4" s="21" t="s">
        <v>109</v>
      </c>
      <c r="AJ4" s="21" t="s">
        <v>109</v>
      </c>
      <c r="AK4" s="21" t="s">
        <v>110</v>
      </c>
      <c r="AL4" s="21" t="s">
        <v>111</v>
      </c>
      <c r="AM4" s="21" t="s">
        <v>112</v>
      </c>
      <c r="AN4" s="21" t="s">
        <v>113</v>
      </c>
      <c r="AO4" s="20"/>
      <c r="AP4" s="34" t="s">
        <v>114</v>
      </c>
      <c r="AQ4" s="24" t="s">
        <v>115</v>
      </c>
      <c r="AR4" s="24" t="s">
        <v>115</v>
      </c>
      <c r="AS4" s="34" t="s">
        <v>116</v>
      </c>
      <c r="AT4" s="34" t="s">
        <v>117</v>
      </c>
      <c r="AU4" s="34" t="s">
        <v>118</v>
      </c>
      <c r="AV4" s="34" t="s">
        <v>119</v>
      </c>
      <c r="AW4" s="24" t="s">
        <v>120</v>
      </c>
      <c r="AX4" s="24" t="s">
        <v>121</v>
      </c>
      <c r="AY4" s="24" t="s">
        <v>122</v>
      </c>
      <c r="AZ4" s="24" t="s">
        <v>123</v>
      </c>
      <c r="BA4" s="24" t="s">
        <v>124</v>
      </c>
      <c r="BB4" s="24" t="s">
        <v>124</v>
      </c>
      <c r="BC4" s="24" t="s">
        <v>124</v>
      </c>
      <c r="BD4" s="34" t="s">
        <v>125</v>
      </c>
      <c r="BE4" s="34" t="s">
        <v>125</v>
      </c>
      <c r="BF4" s="24" t="s">
        <v>126</v>
      </c>
      <c r="BG4" s="22" t="s">
        <v>127</v>
      </c>
      <c r="BH4" s="22" t="s">
        <v>128</v>
      </c>
      <c r="BI4" s="34" t="s">
        <v>129</v>
      </c>
      <c r="BJ4" s="24" t="s">
        <v>130</v>
      </c>
      <c r="BK4" s="24" t="s">
        <v>130</v>
      </c>
      <c r="BL4" s="20"/>
      <c r="BM4" s="35"/>
      <c r="BN4" s="35"/>
      <c r="BO4" s="35"/>
      <c r="BP4" s="20"/>
      <c r="BQ4" s="36"/>
      <c r="BR4" s="36"/>
      <c r="BS4" s="36"/>
      <c r="BT4" s="20"/>
      <c r="BU4" s="35"/>
      <c r="BV4" s="35"/>
      <c r="BW4" s="35"/>
    </row>
    <row r="5" customFormat="false" ht="28.5" hidden="false" customHeight="true" outlineLevel="0" collapsed="false">
      <c r="A5" s="50" t="s">
        <v>152</v>
      </c>
      <c r="B5" s="47" t="s">
        <v>153</v>
      </c>
      <c r="C5" s="53" t="s">
        <v>154</v>
      </c>
    </row>
    <row r="6" s="55" customFormat="true" ht="28.5" hidden="false" customHeight="true" outlineLevel="0" collapsed="false">
      <c r="A6" s="50" t="s">
        <v>155</v>
      </c>
      <c r="B6" s="54" t="s">
        <v>156</v>
      </c>
      <c r="C6" s="50" t="n">
        <v>1</v>
      </c>
    </row>
    <row r="7" s="55" customFormat="true" ht="42.75" hidden="false" customHeight="true" outlineLevel="0" collapsed="false">
      <c r="A7" s="54" t="s">
        <v>157</v>
      </c>
      <c r="B7" s="54" t="s">
        <v>156</v>
      </c>
      <c r="C7" s="50" t="n">
        <v>1.052632</v>
      </c>
      <c r="D7" s="56" t="n">
        <f aca="false">$C$7*CF!G8/1000</f>
        <v>0.00720000288</v>
      </c>
      <c r="E7" s="56" t="n">
        <f aca="false">$C$7*CF!H8/1000</f>
        <v>2.08421136E-009</v>
      </c>
      <c r="F7" s="56" t="n">
        <f aca="false">$C$7*CF!I8/1000</f>
        <v>0.00022631588</v>
      </c>
      <c r="G7" s="56" t="n">
        <f aca="false">$C$7*CF!J8/1000</f>
        <v>1.88421128E-005</v>
      </c>
      <c r="H7" s="56" t="n">
        <f aca="false">$C$7*CF!K8/1000</f>
        <v>1.67368488E-005</v>
      </c>
      <c r="I7" s="56" t="n">
        <f aca="false">$C$7*CF!L8/1000</f>
        <v>1.93684288E-005</v>
      </c>
      <c r="J7" s="56" t="n">
        <f aca="false">$C$7*CF!M8/1000</f>
        <v>4.3157912E-005</v>
      </c>
      <c r="K7" s="56" t="n">
        <f aca="false">$C$7*CF!N8/1000</f>
        <v>4.49473864E-006</v>
      </c>
      <c r="L7" s="56" t="n">
        <f aca="false">$C$7*CF!O8/1000</f>
        <v>2.80000112E-007</v>
      </c>
      <c r="M7" s="56" t="n">
        <f aca="false">$C$7*CF!P8/1000</f>
        <v>0.038947384</v>
      </c>
      <c r="N7" s="56" t="n">
        <f aca="false">$C$7*CF!Q8/1000</f>
        <v>0.000507368624</v>
      </c>
      <c r="O7" s="56" t="n">
        <f aca="false">$C$7*CF!R8/1000</f>
        <v>0.00067368448</v>
      </c>
      <c r="P7" s="56" t="n">
        <f aca="false">$C$7*CF!S8/1000</f>
        <v>0.000356842248</v>
      </c>
      <c r="Q7" s="56" t="n">
        <f aca="false">$C$7*CF!T8/1000</f>
        <v>0.0109473728</v>
      </c>
      <c r="R7" s="56" t="n">
        <f aca="false">$C$7*CF!U8/1000</f>
        <v>0.000337894872</v>
      </c>
      <c r="S7" s="56" t="n">
        <f aca="false">$C$7*CF!V8/1000</f>
        <v>0.00102105304</v>
      </c>
      <c r="T7" s="56" t="n">
        <f aca="false">$C$7*CF!W8/1000</f>
        <v>0.0016842112</v>
      </c>
      <c r="U7" s="56" t="n">
        <f aca="false">$C$7*CF!X8/1000</f>
        <v>6.93684488E-005</v>
      </c>
      <c r="V7" s="57" t="s">
        <v>158</v>
      </c>
      <c r="W7" s="56" t="n">
        <f aca="false">$C$7*CF!Z8/1000</f>
        <v>8.9962300135849E-007</v>
      </c>
      <c r="X7" s="56" t="n">
        <f aca="false">$C$7*CF!AA8/1000</f>
        <v>3.47847689048276E-008</v>
      </c>
      <c r="Y7" s="56" t="n">
        <f aca="false">$C$7*CF!AB8/1000</f>
        <v>4.71007835726496E-007</v>
      </c>
      <c r="Z7" s="56" t="n">
        <f aca="false">$C$7*CF!AC8/1000</f>
        <v>9.15442272830189E-007</v>
      </c>
      <c r="AA7" s="56" t="n">
        <f aca="false">$C$7*CF!AD8/1000</f>
        <v>6.54258634909091E-007</v>
      </c>
      <c r="AB7" s="56" t="n">
        <f aca="false">$C$7*CF!AE8/1000</f>
        <v>1.09265479319938E-006</v>
      </c>
      <c r="AC7" s="56" t="n">
        <f aca="false">$C$7*CF!AF8/1000</f>
        <v>1.05190783056511E-006</v>
      </c>
      <c r="AD7" s="56" t="n">
        <f aca="false">$C$7*CF!AG8/1000</f>
        <v>6.93081836091603E-006</v>
      </c>
      <c r="AE7" s="56" t="n">
        <f aca="false">$C$7*CF!AH8/1000</f>
        <v>6.10000244E-008</v>
      </c>
      <c r="AF7" s="56" t="n">
        <f aca="false">$C$7*CF!AI8/1000</f>
        <v>2.56669645377049E-006</v>
      </c>
      <c r="AG7" s="56" t="n">
        <f aca="false">$C$7*CF!AJ8/1000</f>
        <v>2.00947071512545E-005</v>
      </c>
      <c r="AH7" s="56" t="n">
        <f aca="false">$C$7*CF!AK8/1000</f>
        <v>1.55023985454545E-005</v>
      </c>
      <c r="AI7" s="56" t="n">
        <f aca="false">$C$7*CF!AL8/1000</f>
        <v>3.46679019417722E-005</v>
      </c>
      <c r="AJ7" s="56" t="n">
        <f aca="false">$C$7*CF!AM8/1000</f>
        <v>3.49930684809384E-007</v>
      </c>
      <c r="AK7" s="56" t="n">
        <f aca="false">$C$7*CF!AN8/1000</f>
        <v>5.47171695948387E-008</v>
      </c>
      <c r="AL7" s="56" t="n">
        <f aca="false">$C$7*CF!AO8/1000</f>
        <v>8.542202665E-009</v>
      </c>
      <c r="AM7" s="56" t="n">
        <f aca="false">$C$7*CF!AP8/1000</f>
        <v>1.7154002962963E-006</v>
      </c>
      <c r="AN7" s="56" t="n">
        <f aca="false">$C$7*CF!AQ8/1000</f>
        <v>2.59616570756436E-007</v>
      </c>
      <c r="AO7" s="56"/>
      <c r="AP7" s="56" t="n">
        <f aca="false">$C$7*CF!AS8/1000</f>
        <v>6.67170050867913E-009</v>
      </c>
      <c r="AQ7" s="56" t="n">
        <f aca="false">$C$7*CF!AT8/1000</f>
        <v>2.00754800301888E-011</v>
      </c>
      <c r="AR7" s="56" t="n">
        <f aca="false">$C$7*CF!AU8/1000</f>
        <v>5.5094364437737E-016</v>
      </c>
      <c r="AS7" s="56" t="n">
        <f aca="false">$C$7*CF!AV8/1000</f>
        <v>1.10678813745192E-012</v>
      </c>
      <c r="AT7" s="56" t="n">
        <f aca="false">$C$7*CF!AW8/1000</f>
        <v>1.92465225407112E-012</v>
      </c>
      <c r="AU7" s="56" t="n">
        <f aca="false">$C$7*CF!AX8/1000</f>
        <v>1.71534336613707E-011</v>
      </c>
      <c r="AV7" s="56" t="n">
        <f aca="false">$C$7*CF!AY8/1000</f>
        <v>1.04985683362678E-008</v>
      </c>
      <c r="AW7" s="56" t="n">
        <f aca="false">$C$7*CF!AZ8/1000</f>
        <v>2.49963518932736E-012</v>
      </c>
      <c r="AX7" s="56" t="n">
        <f aca="false">$C$7*CF!BA8/1000</f>
        <v>9.1405695509632E-012</v>
      </c>
      <c r="AY7" s="56" t="n">
        <f aca="false">$C$7*CF!BB8/1000</f>
        <v>3.01250418394856E-012</v>
      </c>
      <c r="AZ7" s="56" t="n">
        <f aca="false">$C$7*CF!BC8/1000</f>
        <v>4.78000231200016E-016</v>
      </c>
      <c r="BA7" s="56" t="n">
        <f aca="false">$C$7*CF!BD8/1000</f>
        <v>4.4566011510608E-013</v>
      </c>
      <c r="BB7" s="56" t="n">
        <f aca="false">$C$7*CF!BE8/1000</f>
        <v>3.50975442074331E-013</v>
      </c>
      <c r="BC7" s="56" t="n">
        <f aca="false">$C$7*CF!BF8/1000</f>
        <v>7.0813400956928E-014</v>
      </c>
      <c r="BD7" s="56" t="n">
        <f aca="false">$C$7*CF!BG8/1000</f>
        <v>1.18571006902068E-009</v>
      </c>
      <c r="BE7" s="56" t="n">
        <f aca="false">$C$7*CF!BH8/1000</f>
        <v>2.5040911068992E-009</v>
      </c>
      <c r="BF7" s="56" t="n">
        <f aca="false">$C$7*CF!BI8/1000</f>
        <v>2.99382121331748E-012</v>
      </c>
      <c r="BG7" s="56" t="n">
        <f aca="false">$C$7*CF!BJ8/1000</f>
        <v>0.000237030213759416</v>
      </c>
      <c r="BH7" s="56" t="n">
        <f aca="false">$C$7*CF!BK8/1000</f>
        <v>0.00039766095906432</v>
      </c>
      <c r="BI7" s="56" t="n">
        <f aca="false">$C$7*CF!BL8/1000</f>
        <v>1.32555544495881E-010</v>
      </c>
      <c r="BJ7" s="56" t="n">
        <f aca="false">$C$7*CF!BM8/1000</f>
        <v>8.44784230545136E-013</v>
      </c>
      <c r="BK7" s="56" t="n">
        <f aca="false">$C$7*CF!BN8/1000</f>
        <v>5.29535360971954E-017</v>
      </c>
      <c r="BL7" s="56"/>
      <c r="BM7" s="56" t="n">
        <f aca="false">$C$7*CF!BP8/1000</f>
        <v>2.10128104394156E-008</v>
      </c>
      <c r="BN7" s="56" t="n">
        <f aca="false">$C$7*CF!BQ8/1000</f>
        <v>3.94353252538396E-011</v>
      </c>
      <c r="BO7" s="56" t="n">
        <f aca="false">$C$7*CF!BR8/1000</f>
        <v>0.000634691172823736</v>
      </c>
      <c r="BP7" s="56"/>
      <c r="BQ7" s="56" t="n">
        <f aca="false">$C$7*CF!BT8/1000</f>
        <v>8.75462673444375E-007</v>
      </c>
      <c r="BR7" s="56" t="n">
        <f aca="false">$C$7*CF!BU8/1000</f>
        <v>2.66596863193431E-008</v>
      </c>
      <c r="BS7" s="56" t="n">
        <f aca="false">$C$7*CF!BV8/1000</f>
        <v>2.26406076493905E-008</v>
      </c>
      <c r="BT7" s="56"/>
      <c r="BU7" s="56" t="n">
        <f aca="false">$C$7*CF!BX8/1000</f>
        <v>0.35018506937775</v>
      </c>
      <c r="BV7" s="56" t="n">
        <f aca="false">$C$7*CF!BY8/1000</f>
        <v>0.0106638745277373</v>
      </c>
      <c r="BW7" s="56" t="n">
        <f aca="false">$C$7*CF!BZ8/1000</f>
        <v>0.00452812152987811</v>
      </c>
      <c r="BX7" s="56"/>
    </row>
    <row r="8" s="55" customFormat="true" ht="14.25" hidden="false" customHeight="false" outlineLevel="0" collapsed="false">
      <c r="A8" s="54" t="s">
        <v>159</v>
      </c>
      <c r="B8" s="54" t="s">
        <v>156</v>
      </c>
      <c r="C8" s="50" t="n">
        <v>1.65263157894737</v>
      </c>
      <c r="D8" s="56" t="n">
        <f aca="false">$C$8*CF!G9/1000</f>
        <v>0.00285905263157895</v>
      </c>
      <c r="E8" s="56" t="n">
        <f aca="false">$C$8*CF!H9/1000</f>
        <v>1.29731578947368E-008</v>
      </c>
      <c r="F8" s="56" t="n">
        <f aca="false">$C$8*CF!I9/1000</f>
        <v>0.000136672631578947</v>
      </c>
      <c r="G8" s="56" t="n">
        <f aca="false">$C$8*CF!J9/1000</f>
        <v>8.29621052631579E-006</v>
      </c>
      <c r="H8" s="56" t="n">
        <f aca="false">$C$8*CF!K9/1000</f>
        <v>5.04052631578948E-006</v>
      </c>
      <c r="I8" s="56" t="n">
        <f aca="false">$C$8*CF!L9/1000</f>
        <v>8.59368421052632E-006</v>
      </c>
      <c r="J8" s="56" t="n">
        <f aca="false">$C$8*CF!M9/1000</f>
        <v>1.44274736842105E-005</v>
      </c>
      <c r="K8" s="56" t="n">
        <f aca="false">$C$8*CF!N9/1000</f>
        <v>1.09238947368421E-006</v>
      </c>
      <c r="L8" s="56" t="n">
        <f aca="false">$C$8*CF!O9/1000</f>
        <v>1.61296842105263E-006</v>
      </c>
      <c r="M8" s="56" t="n">
        <f aca="false">$C$8*CF!P9/1000</f>
        <v>0.0175178947368421</v>
      </c>
      <c r="N8" s="56" t="n">
        <f aca="false">$C$8*CF!Q9/1000</f>
        <v>0.000175178947368421</v>
      </c>
      <c r="O8" s="56" t="n">
        <f aca="false">$C$8*CF!R9/1000</f>
        <v>0.0002198</v>
      </c>
      <c r="P8" s="56" t="n">
        <f aca="false">$C$8*CF!S9/1000</f>
        <v>0.000185094736842105</v>
      </c>
      <c r="Q8" s="56" t="n">
        <f aca="false">$C$8*CF!T9/1000</f>
        <v>0.00328873684210526</v>
      </c>
      <c r="R8" s="56" t="n">
        <f aca="false">$C$8*CF!U9/1000</f>
        <v>0.000789957894736842</v>
      </c>
      <c r="S8" s="56" t="n">
        <f aca="false">$C$8*CF!V9/1000</f>
        <v>1.52042105263158E-005</v>
      </c>
      <c r="T8" s="56" t="n">
        <f aca="false">$C$8*CF!W9/1000</f>
        <v>0.00066601052631579</v>
      </c>
      <c r="U8" s="56" t="n">
        <f aca="false">$C$8*CF!X9/1000</f>
        <v>0.000201621052631579</v>
      </c>
      <c r="V8" s="57" t="s">
        <v>159</v>
      </c>
      <c r="W8" s="56" t="n">
        <f aca="false">$C$8*CF!Z9/1000</f>
        <v>3.57231733421604E-007</v>
      </c>
      <c r="X8" s="56" t="n">
        <f aca="false">$C$8*CF!AA9/1000</f>
        <v>2.16517531760436E-007</v>
      </c>
      <c r="Y8" s="56" t="n">
        <f aca="false">$C$8*CF!AB9/1000</f>
        <v>2.84442613585245E-007</v>
      </c>
      <c r="Z8" s="56" t="n">
        <f aca="false">$C$8*CF!AC9/1000</f>
        <v>4.03070605759682E-007</v>
      </c>
      <c r="AA8" s="56" t="n">
        <f aca="false">$C$8*CF!AD9/1000</f>
        <v>1.97038755980861E-007</v>
      </c>
      <c r="AB8" s="56" t="n">
        <f aca="false">$C$8*CF!AE9/1000</f>
        <v>4.84805987147157E-007</v>
      </c>
      <c r="AC8" s="56" t="n">
        <f aca="false">$C$8*CF!AF9/1000</f>
        <v>3.516475158412E-007</v>
      </c>
      <c r="AD8" s="56" t="n">
        <f aca="false">$C$8*CF!AG9/1000</f>
        <v>1.68444789071917E-006</v>
      </c>
      <c r="AE8" s="56" t="n">
        <f aca="false">$C$8*CF!AH9/1000</f>
        <v>3.51396691729323E-007</v>
      </c>
      <c r="AF8" s="56" t="n">
        <f aca="false">$C$8*CF!AI9/1000</f>
        <v>1.15445798101812E-006</v>
      </c>
      <c r="AG8" s="56" t="n">
        <f aca="false">$C$8*CF!AJ9/1000</f>
        <v>6.93809092624033E-006</v>
      </c>
      <c r="AH8" s="56" t="n">
        <f aca="false">$C$8*CF!AK9/1000</f>
        <v>5.05789772727273E-006</v>
      </c>
      <c r="AI8" s="56" t="n">
        <f aca="false">$C$8*CF!AL9/1000</f>
        <v>1.79823051299134E-005</v>
      </c>
      <c r="AJ8" s="56" t="n">
        <f aca="false">$C$8*CF!AM9/1000</f>
        <v>1.05123846272573E-007</v>
      </c>
      <c r="AK8" s="56" t="n">
        <f aca="false">$C$8*CF!AN9/1000</f>
        <v>1.27922213921902E-007</v>
      </c>
      <c r="AL8" s="56" t="n">
        <f aca="false">$C$8*CF!AO9/1000</f>
        <v>1.27199511278196E-010</v>
      </c>
      <c r="AM8" s="56" t="n">
        <f aca="false">$C$8*CF!AP9/1000</f>
        <v>6.78344054580897E-007</v>
      </c>
      <c r="AN8" s="56" t="n">
        <f aca="false">$C$8*CF!AQ9/1000</f>
        <v>7.54581761334029E-007</v>
      </c>
      <c r="AO8" s="56"/>
      <c r="AP8" s="56" t="n">
        <f aca="false">$C$8*CF!AS9/1000</f>
        <v>2.64926878702105E-009</v>
      </c>
      <c r="AQ8" s="56" t="n">
        <f aca="false">$C$8*CF!AT9/1000</f>
        <v>7.97178209052632E-012</v>
      </c>
      <c r="AR8" s="56" t="n">
        <f aca="false">$C$8*CF!AU9/1000</f>
        <v>2.18774478644211E-016</v>
      </c>
      <c r="AS8" s="56" t="n">
        <f aca="false">$C$8*CF!AV9/1000</f>
        <v>6.88919441605263E-012</v>
      </c>
      <c r="AT8" s="56" t="n">
        <f aca="false">$C$8*CF!AW9/1000</f>
        <v>1.16230150724842E-012</v>
      </c>
      <c r="AU8" s="56" t="n">
        <f aca="false">$C$8*CF!AX9/1000</f>
        <v>7.5526825688E-012</v>
      </c>
      <c r="AV8" s="56" t="n">
        <f aca="false">$C$8*CF!AY9/1000</f>
        <v>3.16178455152632E-009</v>
      </c>
      <c r="AW8" s="56" t="n">
        <f aca="false">$C$8*CF!AZ9/1000</f>
        <v>1.10907682189474E-012</v>
      </c>
      <c r="AX8" s="56" t="n">
        <f aca="false">$C$8*CF!BA9/1000</f>
        <v>3.05564659048421E-012</v>
      </c>
      <c r="AY8" s="56" t="n">
        <f aca="false">$C$8*CF!BB9/1000</f>
        <v>7.32151104557895E-013</v>
      </c>
      <c r="AZ8" s="56" t="n">
        <f aca="false">$C$8*CF!BC9/1000</f>
        <v>2.75356774922105E-015</v>
      </c>
      <c r="BA8" s="56" t="n">
        <f aca="false">$C$8*CF!BD9/1000</f>
        <v>2.00450612673684E-013</v>
      </c>
      <c r="BB8" s="56" t="n">
        <f aca="false">$C$8*CF!BE9/1000</f>
        <v>1.21181140469474E-013</v>
      </c>
      <c r="BC8" s="56" t="n">
        <f aca="false">$C$8*CF!BF9/1000</f>
        <v>2.310396928E-014</v>
      </c>
      <c r="BD8" s="56" t="n">
        <f aca="false">$C$8*CF!BG9/1000</f>
        <v>6.15030015157895E-010</v>
      </c>
      <c r="BE8" s="56" t="n">
        <f aca="false">$C$8*CF!BH9/1000</f>
        <v>7.52262376526316E-010</v>
      </c>
      <c r="BF8" s="56" t="n">
        <f aca="false">$C$8*CF!BI9/1000</f>
        <v>6.99919678831579E-012</v>
      </c>
      <c r="BG8" s="56" t="n">
        <f aca="false">$C$8*CF!BJ9/1000</f>
        <v>3.52954952378947E-006</v>
      </c>
      <c r="BH8" s="56" t="n">
        <f aca="false">$C$8*CF!BK9/1000</f>
        <v>0.00015725247798</v>
      </c>
      <c r="BI8" s="56" t="n">
        <f aca="false">$C$8*CF!BL9/1000</f>
        <v>3.85275854884211E-010</v>
      </c>
      <c r="BJ8" s="56" t="n">
        <f aca="false">$C$8*CF!BM9/1000</f>
        <v>2.45538553557895E-012</v>
      </c>
      <c r="BK8" s="56" t="n">
        <f aca="false">$C$8*CF!BN9/1000</f>
        <v>1.53910716949474E-016</v>
      </c>
      <c r="BL8" s="56"/>
      <c r="BM8" s="56" t="n">
        <f aca="false">$C$8*CF!BP9/1000</f>
        <v>7.57922576360789E-009</v>
      </c>
      <c r="BN8" s="56" t="n">
        <f aca="false">$C$8*CF!BQ9/1000</f>
        <v>2.26711009067259E-011</v>
      </c>
      <c r="BO8" s="56" t="n">
        <f aca="false">$C$8*CF!BR9/1000</f>
        <v>0.00016078202750379</v>
      </c>
      <c r="BP8" s="56"/>
      <c r="BQ8" s="56" t="n">
        <f aca="false">$C$8*CF!BT9/1000</f>
        <v>3.15775429887293E-007</v>
      </c>
      <c r="BR8" s="56" t="n">
        <f aca="false">$C$8*CF!BU9/1000</f>
        <v>1.53264727702136E-008</v>
      </c>
      <c r="BS8" s="56" t="n">
        <f aca="false">$C$8*CF!BV9/1000</f>
        <v>5.73539219962928E-009</v>
      </c>
      <c r="BT8" s="56"/>
      <c r="BU8" s="56" t="n">
        <f aca="false">$C$8*CF!BX9/1000</f>
        <v>0.126310171954917</v>
      </c>
      <c r="BV8" s="56" t="n">
        <f aca="false">$C$8*CF!BY9/1000</f>
        <v>0.00613058910808543</v>
      </c>
      <c r="BW8" s="56" t="n">
        <f aca="false">$C$8*CF!BZ9/1000</f>
        <v>0.00114707843992586</v>
      </c>
      <c r="BX8" s="56"/>
    </row>
    <row r="9" s="55" customFormat="true" ht="14.25" hidden="false" customHeight="false" outlineLevel="0" collapsed="false">
      <c r="A9" s="54" t="s">
        <v>143</v>
      </c>
      <c r="B9" s="54" t="s">
        <v>156</v>
      </c>
      <c r="C9" s="50" t="n">
        <v>0.0757894736842105</v>
      </c>
      <c r="D9" s="56" t="n">
        <f aca="false">$C$9*CF!G10/1000</f>
        <v>0.00015090820339326</v>
      </c>
      <c r="E9" s="56" t="n">
        <f aca="false">$C$9*CF!H10/1000</f>
        <v>2.96906431461328E-010</v>
      </c>
      <c r="F9" s="56" t="n">
        <f aca="false">$C$9*CF!I10/1000</f>
        <v>8.49942155978676E-006</v>
      </c>
      <c r="G9" s="56" t="n">
        <f aca="false">$C$9*CF!J10/1000</f>
        <v>1.36670581483144E-006</v>
      </c>
      <c r="H9" s="56" t="n">
        <f aca="false">$C$9*CF!K10/1000</f>
        <v>2.91950996414501E-006</v>
      </c>
      <c r="I9" s="56" t="n">
        <f aca="false">$C$9*CF!L10/1000</f>
        <v>1.39516144912323E-006</v>
      </c>
      <c r="J9" s="56" t="n">
        <f aca="false">$C$9*CF!M10/1000</f>
        <v>8.21316888520713E-006</v>
      </c>
      <c r="K9" s="56" t="n">
        <f aca="false">$C$9*CF!N10/1000</f>
        <v>1.28269694434573E-006</v>
      </c>
      <c r="L9" s="56" t="n">
        <f aca="false">$C$9*CF!O10/1000</f>
        <v>2.90370339844565E-008</v>
      </c>
      <c r="M9" s="56" t="n">
        <f aca="false">$C$9*CF!P10/1000</f>
        <v>0.058858735697781</v>
      </c>
      <c r="N9" s="56" t="n">
        <f aca="false">$C$9*CF!Q10/1000</f>
        <v>0.00107652953064242</v>
      </c>
      <c r="O9" s="56" t="n">
        <f aca="false">$C$9*CF!R10/1000</f>
        <v>0.00135831499874666</v>
      </c>
      <c r="P9" s="56" t="n">
        <f aca="false">$C$9*CF!S10/1000</f>
        <v>6.30828095233879E-005</v>
      </c>
      <c r="Q9" s="56" t="n">
        <f aca="false">$C$9*CF!T10/1000</f>
        <v>0.0131788692123918</v>
      </c>
      <c r="R9" s="56" t="n">
        <f aca="false">$C$9*CF!U10/1000</f>
        <v>9.88717608655786E-006</v>
      </c>
      <c r="S9" s="56" t="n">
        <f aca="false">$C$9*CF!V10/1000</f>
        <v>2.16327554158736E-005</v>
      </c>
      <c r="T9" s="56" t="n">
        <f aca="false">$C$9*CF!W10/1000</f>
        <v>4.31997498877556E-005</v>
      </c>
      <c r="U9" s="56" t="n">
        <f aca="false">$C$9*CF!X10/1000</f>
        <v>3.15258484782183E-006</v>
      </c>
      <c r="V9" s="57" t="s">
        <v>143</v>
      </c>
      <c r="W9" s="56" t="n">
        <f aca="false">$C$9*CF!Z10/1000</f>
        <v>1.88556161891788E-008</v>
      </c>
      <c r="X9" s="56" t="n">
        <f aca="false">$C$9*CF!AA10/1000</f>
        <v>4.95526595956147E-009</v>
      </c>
      <c r="Y9" s="56" t="n">
        <f aca="false">$C$9*CF!AB10/1000</f>
        <v>1.76889670923767E-008</v>
      </c>
      <c r="Z9" s="56" t="n">
        <f aca="false">$C$9*CF!AC10/1000</f>
        <v>6.64012730790749E-008</v>
      </c>
      <c r="AA9" s="56" t="n">
        <f aca="false">$C$9*CF!AD10/1000</f>
        <v>1.14126298598396E-007</v>
      </c>
      <c r="AB9" s="56" t="n">
        <f aca="false">$C$9*CF!AE10/1000</f>
        <v>7.87069441931961E-008</v>
      </c>
      <c r="AC9" s="56" t="n">
        <f aca="false">$C$9*CF!AF10/1000</f>
        <v>2.00183379216842E-007</v>
      </c>
      <c r="AD9" s="56" t="n">
        <f aca="false">$C$9*CF!AG10/1000</f>
        <v>1.97789910502165E-006</v>
      </c>
      <c r="AE9" s="56" t="n">
        <f aca="false">$C$9*CF!AH10/1000</f>
        <v>6.32592526089945E-009</v>
      </c>
      <c r="AF9" s="56" t="n">
        <f aca="false">$C$9*CF!AI10/1000</f>
        <v>3.87888717221442E-006</v>
      </c>
      <c r="AG9" s="56" t="n">
        <f aca="false">$C$9*CF!AJ10/1000</f>
        <v>4.26367430594936E-005</v>
      </c>
      <c r="AH9" s="56" t="n">
        <f aca="false">$C$9*CF!AK10/1000</f>
        <v>3.12566803688861E-005</v>
      </c>
      <c r="AI9" s="56" t="n">
        <f aca="false">$C$9*CF!AL10/1000</f>
        <v>6.12861472268358E-006</v>
      </c>
      <c r="AJ9" s="56" t="n">
        <f aca="false">$C$9*CF!AM10/1000</f>
        <v>4.21260042272934E-007</v>
      </c>
      <c r="AK9" s="56" t="n">
        <f aca="false">$C$9*CF!AN10/1000</f>
        <v>1.60108464369421E-009</v>
      </c>
      <c r="AL9" s="56" t="n">
        <f aca="false">$C$9*CF!AO10/1000</f>
        <v>1.80981177006014E-010</v>
      </c>
      <c r="AM9" s="56" t="n">
        <f aca="false">$C$9*CF!AP10/1000</f>
        <v>4.39997452560473E-008</v>
      </c>
      <c r="AN9" s="56" t="n">
        <f aca="false">$C$9*CF!AQ10/1000</f>
        <v>1.17987828958084E-008</v>
      </c>
      <c r="AO9" s="56"/>
      <c r="AP9" s="56" t="n">
        <f aca="false">$C$9*CF!AS10/1000</f>
        <v>1.39835268696819E-010</v>
      </c>
      <c r="AQ9" s="56" t="n">
        <f aca="false">$C$9*CF!AT10/1000</f>
        <v>4.20771307193292E-013</v>
      </c>
      <c r="AR9" s="56" t="n">
        <f aca="false">$C$9*CF!AU10/1000</f>
        <v>1.1547483650996E-017</v>
      </c>
      <c r="AS9" s="56" t="n">
        <f aca="false">$C$9*CF!AV10/1000</f>
        <v>1.57667558377851E-013</v>
      </c>
      <c r="AT9" s="56" t="n">
        <f aca="false">$C$9*CF!AW10/1000</f>
        <v>7.2281409785934E-014</v>
      </c>
      <c r="AU9" s="56" t="n">
        <f aca="false">$C$9*CF!AX10/1000</f>
        <v>1.24421808627113E-012</v>
      </c>
      <c r="AV9" s="56" t="n">
        <f aca="false">$C$9*CF!AY10/1000</f>
        <v>1.83132889788615E-009</v>
      </c>
      <c r="AW9" s="56" t="n">
        <f aca="false">$C$9*CF!AZ10/1000</f>
        <v>1.80055630171786E-013</v>
      </c>
      <c r="AX9" s="56" t="n">
        <f aca="false">$C$9*CF!BA10/1000</f>
        <v>1.739496605606E-012</v>
      </c>
      <c r="AY9" s="56" t="n">
        <f aca="false">$C$9*CF!BB10/1000</f>
        <v>8.59700690311891E-013</v>
      </c>
      <c r="AZ9" s="56" t="n">
        <f aca="false">$C$9*CF!BC10/1000</f>
        <v>4.9570369307327E-017</v>
      </c>
      <c r="BA9" s="56" t="n">
        <f aca="false">$C$9*CF!BD10/1000</f>
        <v>6.73498146270143E-013</v>
      </c>
      <c r="BB9" s="56" t="n">
        <f aca="false">$C$9*CF!BE10/1000</f>
        <v>7.44696084957935E-013</v>
      </c>
      <c r="BC9" s="56" t="n">
        <f aca="false">$C$9*CF!BF10/1000</f>
        <v>1.42777379452257E-013</v>
      </c>
      <c r="BD9" s="56" t="n">
        <f aca="false">$C$9*CF!BG10/1000</f>
        <v>2.09610613242171E-010</v>
      </c>
      <c r="BE9" s="56" t="n">
        <f aca="false">$C$9*CF!BH10/1000</f>
        <v>3.01452136477329E-009</v>
      </c>
      <c r="BF9" s="56" t="n">
        <f aca="false">$C$9*CF!BI10/1000</f>
        <v>8.76025058697612E-014</v>
      </c>
      <c r="BG9" s="56" t="n">
        <f aca="false">$C$9*CF!BJ10/1000</f>
        <v>5.0218905772316E-006</v>
      </c>
      <c r="BH9" s="56" t="n">
        <f aca="false">$C$9*CF!BK10/1000</f>
        <v>1.01999404657228E-005</v>
      </c>
      <c r="BI9" s="56" t="n">
        <f aca="false">$C$9*CF!BL10/1000</f>
        <v>6.0242460124391E-012</v>
      </c>
      <c r="BJ9" s="56" t="n">
        <f aca="false">$C$9*CF!BM10/1000</f>
        <v>3.83928718454407E-014</v>
      </c>
      <c r="BK9" s="56" t="n">
        <f aca="false">$C$9*CF!BN10/1000</f>
        <v>2.40657703071781E-018</v>
      </c>
      <c r="BL9" s="56"/>
      <c r="BM9" s="56" t="n">
        <f aca="false">$C$9*CF!BP10/1000</f>
        <v>5.20279455766529E-009</v>
      </c>
      <c r="BN9" s="56" t="n">
        <f aca="false">$C$9*CF!BQ10/1000</f>
        <v>4.8870547461085E-012</v>
      </c>
      <c r="BO9" s="56" t="n">
        <f aca="false">$C$9*CF!BR10/1000</f>
        <v>1.52218310429544E-005</v>
      </c>
      <c r="BP9" s="56"/>
      <c r="BQ9" s="56" t="n">
        <f aca="false">$C$9*CF!BT10/1000</f>
        <v>2.16765503404132E-007</v>
      </c>
      <c r="BR9" s="56" t="n">
        <f aca="false">$C$9*CF!BU10/1000</f>
        <v>3.30382330355002E-009</v>
      </c>
      <c r="BS9" s="56" t="n">
        <f aca="false">$C$9*CF!BV10/1000</f>
        <v>5.42990857767222E-010</v>
      </c>
      <c r="BT9" s="56"/>
      <c r="BU9" s="56" t="n">
        <f aca="false">$C$9*CF!BX10/1000</f>
        <v>0.0867062013616526</v>
      </c>
      <c r="BV9" s="56" t="n">
        <f aca="false">$C$9*CF!BY10/1000</f>
        <v>0.00132152932142001</v>
      </c>
      <c r="BW9" s="56" t="n">
        <f aca="false">$C$9*CF!BZ10/1000</f>
        <v>0.000108598171553444</v>
      </c>
      <c r="BX9" s="56"/>
    </row>
    <row r="10" s="55" customFormat="true" ht="42.75" hidden="false" customHeight="true" outlineLevel="0" collapsed="false">
      <c r="A10" s="54" t="s">
        <v>160</v>
      </c>
      <c r="B10" s="54" t="s">
        <v>161</v>
      </c>
      <c r="C10" s="50" t="n">
        <v>0.210527</v>
      </c>
      <c r="D10" s="56" t="n">
        <f aca="false">$C$10*CF!G11</f>
        <v>0.000101895068</v>
      </c>
      <c r="E10" s="56" t="n">
        <f aca="false">$C$10*CF!H11</f>
        <v>9.2210826E-011</v>
      </c>
      <c r="F10" s="56" t="n">
        <f aca="false">$C$10*CF!I11</f>
        <v>6.7579167E-006</v>
      </c>
      <c r="G10" s="56" t="n">
        <f aca="false">$C$10*CF!J11</f>
        <v>2.4000078E-007</v>
      </c>
      <c r="H10" s="56" t="n">
        <f aca="false">$C$10*CF!K11</f>
        <v>2.6315875E-007</v>
      </c>
      <c r="I10" s="56" t="n">
        <f aca="false">$C$10*CF!L11</f>
        <v>2.4842186E-007</v>
      </c>
      <c r="J10" s="56" t="n">
        <f aca="false">$C$10*CF!M11</f>
        <v>6.5894951E-007</v>
      </c>
      <c r="K10" s="56" t="n">
        <f aca="false">$C$10*CF!N11</f>
        <v>4.5684359E-008</v>
      </c>
      <c r="L10" s="56" t="n">
        <f aca="false">$C$10*CF!O11</f>
        <v>3.5579063E-009</v>
      </c>
      <c r="M10" s="56" t="n">
        <f aca="false">$C$10*CF!P11</f>
        <v>0.00150947859</v>
      </c>
      <c r="N10" s="56" t="n">
        <f aca="false">$C$10*CF!Q11</f>
        <v>1.48421535E-005</v>
      </c>
      <c r="O10" s="56" t="n">
        <f aca="false">$C$10*CF!R11</f>
        <v>1.94316421E-005</v>
      </c>
      <c r="P10" s="56" t="n">
        <f aca="false">$C$10*CF!S11</f>
        <v>1.13895107E-005</v>
      </c>
      <c r="Q10" s="56" t="n">
        <f aca="false">$C$10*CF!T11</f>
        <v>0.0002947378</v>
      </c>
      <c r="R10" s="56" t="n">
        <f aca="false">$C$10*CF!U11</f>
        <v>2.526324E-006</v>
      </c>
      <c r="S10" s="56" t="n">
        <f aca="false">$C$10*CF!V11</f>
        <v>1.22316187E-006</v>
      </c>
      <c r="T10" s="56" t="n">
        <f aca="false">$C$10*CF!W11</f>
        <v>2.4000078E-005</v>
      </c>
      <c r="U10" s="56" t="n">
        <f aca="false">$C$10*CF!X11</f>
        <v>0.000203158555</v>
      </c>
      <c r="V10" s="57" t="s">
        <v>162</v>
      </c>
      <c r="W10" s="56" t="n">
        <f aca="false">$C$10*CF!Z11</f>
        <v>1.2731543087631E-008</v>
      </c>
      <c r="X10" s="56" t="n">
        <f aca="false">$C$10*CF!AA11</f>
        <v>1.53896688910345E-009</v>
      </c>
      <c r="Y10" s="56" t="n">
        <f aca="false">$C$10*CF!AB11</f>
        <v>1.40645531320513E-008</v>
      </c>
      <c r="Z10" s="56" t="n">
        <f aca="false">$C$10*CF!AC11</f>
        <v>1.1660415254717E-008</v>
      </c>
      <c r="AA10" s="56" t="n">
        <f aca="false">$C$10*CF!AD11</f>
        <v>1.02871147727273E-008</v>
      </c>
      <c r="AB10" s="56" t="n">
        <f aca="false">$C$10*CF!AE11</f>
        <v>1.40145253323029E-008</v>
      </c>
      <c r="AC10" s="56" t="n">
        <f aca="false">$C$10*CF!AF11</f>
        <v>1.60608824058968E-008</v>
      </c>
      <c r="AD10" s="56" t="n">
        <f aca="false">$C$10*CF!AG11</f>
        <v>7.04445841068702E-008</v>
      </c>
      <c r="AE10" s="56" t="n">
        <f aca="false">$C$10*CF!AH11</f>
        <v>7.75115301071429E-010</v>
      </c>
      <c r="AF10" s="56" t="n">
        <f aca="false">$C$10*CF!AI11</f>
        <v>9.94771136360656E-008</v>
      </c>
      <c r="AG10" s="56" t="n">
        <f aca="false">$C$10*CF!AJ11</f>
        <v>5.87834394892473E-007</v>
      </c>
      <c r="AH10" s="56" t="n">
        <f aca="false">$C$10*CF!AK11</f>
        <v>4.47148582414773E-007</v>
      </c>
      <c r="AI10" s="56" t="n">
        <f aca="false">$C$10*CF!AL11</f>
        <v>1.10651259015823E-006</v>
      </c>
      <c r="AJ10" s="56" t="n">
        <f aca="false">$C$10*CF!AM11</f>
        <v>9.42123759530792E-009</v>
      </c>
      <c r="AK10" s="56" t="n">
        <f aca="false">$C$10*CF!AN11</f>
        <v>4.09101499354839E-010</v>
      </c>
      <c r="AL10" s="56" t="n">
        <f aca="false">$C$10*CF!AO11</f>
        <v>1.0233059573125E-011</v>
      </c>
      <c r="AM10" s="56" t="n">
        <f aca="false">$C$10*CF!AP11</f>
        <v>2.44445238888889E-008</v>
      </c>
      <c r="AN10" s="56" t="n">
        <f aca="false">$C$10*CF!AQ11</f>
        <v>7.60335978118812E-007</v>
      </c>
      <c r="AO10" s="56"/>
      <c r="AP10" s="56" t="n">
        <f aca="false">$C$10*CF!AS11</f>
        <v>9.44184868169796E-011</v>
      </c>
      <c r="AQ10" s="56" t="n">
        <f aca="false">$C$10*CF!AT11</f>
        <v>2.8410994230168E-013</v>
      </c>
      <c r="AR10" s="56" t="n">
        <f aca="false">$C$10*CF!AU11</f>
        <v>7.79700245175456E-018</v>
      </c>
      <c r="AS10" s="56" t="n">
        <f aca="false">$C$10*CF!AV11</f>
        <v>4.8967129879497E-014</v>
      </c>
      <c r="AT10" s="56" t="n">
        <f aca="false">$C$10*CF!AW11</f>
        <v>5.74711752859758E-014</v>
      </c>
      <c r="AU10" s="56" t="n">
        <f aca="false">$C$10*CF!AX11</f>
        <v>2.18491286094372E-013</v>
      </c>
      <c r="AV10" s="56" t="n">
        <f aca="false">$C$10*CF!AY11</f>
        <v>1.65072299641125E-010</v>
      </c>
      <c r="AW10" s="56" t="n">
        <f aca="false">$C$10*CF!AZ11</f>
        <v>3.2060629670392E-014</v>
      </c>
      <c r="AX10" s="56" t="n">
        <f aca="false">$C$10*CF!BA11</f>
        <v>1.39561288941136E-013</v>
      </c>
      <c r="AY10" s="56" t="n">
        <f aca="false">$C$10*CF!BB11</f>
        <v>3.0618982248211E-014</v>
      </c>
      <c r="AZ10" s="56" t="n">
        <f aca="false">$C$10*CF!BC11</f>
        <v>6.0738548347009E-018</v>
      </c>
      <c r="BA10" s="56" t="n">
        <f aca="false">$C$10*CF!BD11</f>
        <v>1.72723899035058E-014</v>
      </c>
      <c r="BB10" s="56" t="n">
        <f aca="false">$C$10*CF!BE11</f>
        <v>1.02671531891921E-014</v>
      </c>
      <c r="BC10" s="56" t="n">
        <f aca="false">$C$10*CF!BF11</f>
        <v>2.04252985504256E-015</v>
      </c>
      <c r="BD10" s="56" t="n">
        <f aca="false">$C$10*CF!BG11</f>
        <v>3.78448953112995E-011</v>
      </c>
      <c r="BE10" s="56" t="n">
        <f aca="false">$C$10*CF!BH11</f>
        <v>6.74180296342E-011</v>
      </c>
      <c r="BF10" s="56" t="n">
        <f aca="false">$C$10*CF!BI11</f>
        <v>2.238377379966E-014</v>
      </c>
      <c r="BG10" s="56" t="n">
        <f aca="false">$C$10*CF!BJ11</f>
        <v>2.83948343671223E-007</v>
      </c>
      <c r="BH10" s="56" t="n">
        <f aca="false">$C$10*CF!BK11</f>
        <v>5.6666848166658E-006</v>
      </c>
      <c r="BI10" s="56" t="n">
        <f aca="false">$C$10*CF!BL11</f>
        <v>3.88213854322505E-010</v>
      </c>
      <c r="BJ10" s="56" t="n">
        <f aca="false">$C$10*CF!BM11</f>
        <v>2.4741095776721E-012</v>
      </c>
      <c r="BK10" s="56" t="n">
        <f aca="false">$C$10*CF!BN11</f>
        <v>1.55084394443697E-016</v>
      </c>
      <c r="BL10" s="56"/>
      <c r="BM10" s="56" t="n">
        <f aca="false">$C$10*CF!BP11</f>
        <v>7.53292495317369E-010</v>
      </c>
      <c r="BN10" s="56" t="n">
        <f aca="false">$C$10*CF!BQ11</f>
        <v>3.01259522283265E-012</v>
      </c>
      <c r="BO10" s="56" t="n">
        <f aca="false">$C$10*CF!BR11</f>
        <v>5.95063316033702E-006</v>
      </c>
      <c r="BP10" s="56"/>
      <c r="BQ10" s="56" t="n">
        <f aca="false">$C$10*CF!BT11</f>
        <v>3.13846386106965E-008</v>
      </c>
      <c r="BR10" s="56" t="n">
        <f aca="false">$C$10*CF!BU11</f>
        <v>2.03662181384063E-009</v>
      </c>
      <c r="BS10" s="56" t="n">
        <f aca="false">$C$10*CF!BV11</f>
        <v>2.12270087276066E-010</v>
      </c>
      <c r="BT10" s="56"/>
      <c r="BU10" s="56" t="n">
        <f aca="false">$C$10*CF!BX11</f>
        <v>0.0125538554442786</v>
      </c>
      <c r="BV10" s="56" t="n">
        <f aca="false">$C$10*CF!BY11</f>
        <v>0.000814648725536253</v>
      </c>
      <c r="BW10" s="56" t="n">
        <f aca="false">$C$10*CF!BZ11</f>
        <v>4.24540174552133E-005</v>
      </c>
      <c r="BX10" s="56"/>
    </row>
    <row r="11" s="55" customFormat="true" ht="28.5" hidden="false" customHeight="true" outlineLevel="0" collapsed="false">
      <c r="A11" s="54" t="s">
        <v>163</v>
      </c>
      <c r="B11" s="54" t="s">
        <v>132</v>
      </c>
      <c r="C11" s="50" t="n">
        <v>15.789474</v>
      </c>
      <c r="D11" s="56" t="n">
        <f aca="false">$C$11*CF!G6</f>
        <v>12.584210778</v>
      </c>
      <c r="E11" s="56" t="n">
        <f aca="false">$C$11*CF!H6</f>
        <v>3.363157962E-006</v>
      </c>
      <c r="F11" s="56" t="n">
        <f aca="false">$C$11*CF!I6</f>
        <v>0.0386842113</v>
      </c>
      <c r="G11" s="56" t="n">
        <f aca="false">$C$11*CF!J6</f>
        <v>0.02005263198</v>
      </c>
      <c r="H11" s="56" t="n">
        <f aca="false">$C$11*CF!K6</f>
        <v>0.011557894968</v>
      </c>
      <c r="I11" s="56" t="n">
        <f aca="false">$C$11*CF!L6</f>
        <v>0.02100000042</v>
      </c>
      <c r="J11" s="56" t="n">
        <f aca="false">$C$11*CF!M6</f>
        <v>0.0300000006</v>
      </c>
      <c r="K11" s="56" t="n">
        <f aca="false">$C$11*CF!N6</f>
        <v>0.00805263174</v>
      </c>
      <c r="L11" s="56" t="n">
        <f aca="false">$C$11*CF!O6</f>
        <v>0.000513157905</v>
      </c>
      <c r="M11" s="56" t="n">
        <f aca="false">$C$11*CF!P6</f>
        <v>33.1578954</v>
      </c>
      <c r="N11" s="56" t="n">
        <f aca="false">$C$11*CF!Q6</f>
        <v>0.7768421208</v>
      </c>
      <c r="O11" s="56" t="n">
        <f aca="false">$C$11*CF!R6</f>
        <v>0.994736862</v>
      </c>
      <c r="P11" s="56" t="n">
        <f aca="false">$C$11*CF!S6</f>
        <v>0.6047368542</v>
      </c>
      <c r="Q11" s="56" t="n">
        <f aca="false">$C$11*CF!T6</f>
        <v>13.436842374</v>
      </c>
      <c r="R11" s="56" t="n">
        <f aca="false">$C$11*CF!U6</f>
        <v>0.07721052786</v>
      </c>
      <c r="S11" s="56" t="n">
        <f aca="false">$C$11*CF!V6</f>
        <v>0.02194736886</v>
      </c>
      <c r="T11" s="56" t="n">
        <f aca="false">$C$11*CF!W6</f>
        <v>3.647368494</v>
      </c>
      <c r="U11" s="56" t="n">
        <f aca="false">$C$11*CF!X6</f>
        <v>0.05321052738</v>
      </c>
      <c r="V11" s="57" t="s">
        <v>164</v>
      </c>
      <c r="W11" s="56" t="n">
        <f aca="false">$C$11*CF!Z6</f>
        <v>0.00157236679741887</v>
      </c>
      <c r="X11" s="56" t="n">
        <f aca="false">$C$11*CF!AA6</f>
        <v>5.61299466761379E-005</v>
      </c>
      <c r="Y11" s="56" t="n">
        <f aca="false">$C$11*CF!AB6</f>
        <v>8.05094483038462E-005</v>
      </c>
      <c r="Z11" s="56" t="n">
        <f aca="false">$C$11*CF!AC6</f>
        <v>0.000974255232990566</v>
      </c>
      <c r="AA11" s="56" t="n">
        <f aca="false">$C$11*CF!AD6</f>
        <v>0.000451808621476364</v>
      </c>
      <c r="AB11" s="56" t="n">
        <f aca="false">$C$11*CF!AE6</f>
        <v>0.00118469863265842</v>
      </c>
      <c r="AC11" s="56" t="n">
        <f aca="false">$C$11*CF!AF6</f>
        <v>0.00073120394582801</v>
      </c>
      <c r="AD11" s="56" t="n">
        <f aca="false">$C$11*CF!AG6</f>
        <v>0.0124170352021374</v>
      </c>
      <c r="AE11" s="56" t="n">
        <f aca="false">$C$11*CF!AH6</f>
        <v>0.000111795115017857</v>
      </c>
      <c r="AF11" s="56" t="n">
        <f aca="false">$C$11*CF!AI6</f>
        <v>0.00218515966406557</v>
      </c>
      <c r="AG11" s="56" t="n">
        <f aca="false">$C$11*CF!AJ6</f>
        <v>0.0307674029922581</v>
      </c>
      <c r="AH11" s="56" t="n">
        <f aca="false">$C$11*CF!AK6</f>
        <v>0.0228902516539773</v>
      </c>
      <c r="AI11" s="56" t="n">
        <f aca="false">$C$11*CF!AL6</f>
        <v>0.0587513336200633</v>
      </c>
      <c r="AJ11" s="56" t="n">
        <f aca="false">$C$11*CF!AM6</f>
        <v>0.000429506105209971</v>
      </c>
      <c r="AK11" s="56" t="n">
        <f aca="false">$C$11*CF!AN6</f>
        <v>1.25031241889419E-005</v>
      </c>
      <c r="AL11" s="56" t="n">
        <f aca="false">$C$11*CF!AO6</f>
        <v>1.83613255551964E-007</v>
      </c>
      <c r="AM11" s="56" t="n">
        <f aca="false">$C$11*CF!AP6</f>
        <v>0.003714912355</v>
      </c>
      <c r="AN11" s="56" t="n">
        <f aca="false">$C$11*CF!AQ6</f>
        <v>0.000199144349996436</v>
      </c>
      <c r="AO11" s="56"/>
      <c r="AP11" s="56" t="n">
        <f aca="false">$C$11*CF!AS6</f>
        <v>1.1660840536901E-005</v>
      </c>
      <c r="AQ11" s="56" t="n">
        <f aca="false">$C$11*CF!AT6</f>
        <v>3.50880515438663E-008</v>
      </c>
      <c r="AR11" s="56" t="n">
        <f aca="false">$C$11*CF!AU6</f>
        <v>9.62942801995698E-013</v>
      </c>
      <c r="AS11" s="56" t="n">
        <f aca="false">$C$11*CF!AV6</f>
        <v>1.78595290677169E-009</v>
      </c>
      <c r="AT11" s="56" t="n">
        <f aca="false">$C$11*CF!AW6</f>
        <v>3.28981132369096E-010</v>
      </c>
      <c r="AU11" s="56" t="n">
        <f aca="false">$C$11*CF!AX6</f>
        <v>1.82554629651093E-008</v>
      </c>
      <c r="AV11" s="56" t="n">
        <f aca="false">$C$11*CF!AY6</f>
        <v>7.24995198289377E-006</v>
      </c>
      <c r="AW11" s="56" t="n">
        <f aca="false">$C$11*CF!AZ6</f>
        <v>2.71020125420402E-009</v>
      </c>
      <c r="AX11" s="56" t="n">
        <f aca="false">$C$11*CF!BA6</f>
        <v>6.35380812707616E-009</v>
      </c>
      <c r="AY11" s="56" t="n">
        <f aca="false">$C$11*CF!BB6</f>
        <v>5.39710731846846E-009</v>
      </c>
      <c r="AZ11" s="56" t="n">
        <f aca="false">$C$11*CF!BC6</f>
        <v>8.76033925415415E-013</v>
      </c>
      <c r="BA11" s="56" t="n">
        <f aca="false">$C$11*CF!BD6</f>
        <v>3.79413197061948E-010</v>
      </c>
      <c r="BB11" s="56" t="n">
        <f aca="false">$C$11*CF!BE6</f>
        <v>5.37385431168761E-010</v>
      </c>
      <c r="BC11" s="56" t="n">
        <f aca="false">$C$11*CF!BF6</f>
        <v>1.04560372617523E-010</v>
      </c>
      <c r="BD11" s="56" t="n">
        <f aca="false">$C$11*CF!BG6</f>
        <v>2.00941054808295E-006</v>
      </c>
      <c r="BE11" s="56" t="n">
        <f aca="false">$C$11*CF!BH6</f>
        <v>3.07352988778639E-006</v>
      </c>
      <c r="BF11" s="56" t="n">
        <f aca="false">$C$11*CF!BI6</f>
        <v>6.8410187710309E-010</v>
      </c>
      <c r="BG11" s="56" t="n">
        <f aca="false">$C$11*CF!BJ6</f>
        <v>0.00509492585453009</v>
      </c>
      <c r="BH11" s="56" t="n">
        <f aca="false">$C$11*CF!BK6</f>
        <v>0.861184187223683</v>
      </c>
      <c r="BI11" s="56" t="n">
        <f aca="false">$C$11*CF!BL6</f>
        <v>1.01679517875696E-007</v>
      </c>
      <c r="BJ11" s="56" t="n">
        <f aca="false">$C$11*CF!BM6</f>
        <v>6.48009508749664E-010</v>
      </c>
      <c r="BK11" s="56" t="n">
        <f aca="false">$C$11*CF!BN6</f>
        <v>4.06191234071193E-014</v>
      </c>
      <c r="BL11" s="56"/>
      <c r="BM11" s="56" t="n">
        <f aca="false">$C$11*CF!BP6</f>
        <v>2.41157828705441E-005</v>
      </c>
      <c r="BN11" s="56" t="n">
        <f aca="false">$C$11*CF!BQ6</f>
        <v>5.19045182261667E-008</v>
      </c>
      <c r="BO11" s="56" t="n">
        <f aca="false">$C$11*CF!BR6</f>
        <v>0.866279113078214</v>
      </c>
      <c r="BP11" s="56"/>
      <c r="BQ11" s="56" t="n">
        <f aca="false">$C$11*CF!BT6</f>
        <v>0.00100474269279316</v>
      </c>
      <c r="BR11" s="56" t="n">
        <f aca="false">$C$11*CF!BU6</f>
        <v>3.50893054782528E-005</v>
      </c>
      <c r="BS11" s="56" t="n">
        <f aca="false">$C$11*CF!BV6</f>
        <v>3.09017776737108E-005</v>
      </c>
      <c r="BT11" s="56"/>
      <c r="BU11" s="56" t="n">
        <f aca="false">$C$11*CF!BX6</f>
        <v>401.897077117264</v>
      </c>
      <c r="BV11" s="56" t="n">
        <f aca="false">$C$11*CF!BY6</f>
        <v>14.0357221913011</v>
      </c>
      <c r="BW11" s="56" t="n">
        <f aca="false">$C$11*CF!BZ6</f>
        <v>6.18035553474216</v>
      </c>
      <c r="BX11" s="56"/>
    </row>
    <row r="12" s="55" customFormat="true" ht="42.75" hidden="false" customHeight="true" outlineLevel="0" collapsed="false">
      <c r="A12" s="54" t="s">
        <v>165</v>
      </c>
      <c r="B12" s="54" t="s">
        <v>166</v>
      </c>
      <c r="C12" s="50" t="n">
        <f aca="false">C10*0.9</f>
        <v>0.1894743</v>
      </c>
      <c r="D12" s="55" t="n">
        <f aca="false">$C$12*CF!G12/1000</f>
        <v>5.41896498E-005</v>
      </c>
      <c r="E12" s="55" t="n">
        <f aca="false">$C$12*CF!H12/1000</f>
        <v>1.559373489E-010</v>
      </c>
      <c r="F12" s="55" t="n">
        <f aca="false">$C$12*CF!I12/1000</f>
        <v>2.00842758E-006</v>
      </c>
      <c r="G12" s="55" t="n">
        <f aca="false">$C$12*CF!J12/1000</f>
        <v>1.292214726E-007</v>
      </c>
      <c r="H12" s="55" t="n">
        <f aca="false">$C$12*CF!K12/1000</f>
        <v>8.07160518E-008</v>
      </c>
      <c r="I12" s="55" t="n">
        <f aca="false">$C$12*CF!L12/1000</f>
        <v>1.332004329E-007</v>
      </c>
      <c r="J12" s="55" t="n">
        <f aca="false">$C$12*CF!M12/1000</f>
        <v>1.576426176E-007</v>
      </c>
      <c r="K12" s="55" t="n">
        <f aca="false">$C$12*CF!N12/1000</f>
        <v>1.203161805E-006</v>
      </c>
      <c r="L12" s="55" t="n">
        <f aca="false">$C$12*CF!O12/1000</f>
        <v>4.28211918E-007</v>
      </c>
      <c r="M12" s="55" t="n">
        <f aca="false">$C$12*CF!P12/1000</f>
        <v>0.000229263903</v>
      </c>
      <c r="N12" s="55" t="n">
        <f aca="false">$C$12*CF!Q12/1000</f>
        <v>7.40844513E-006</v>
      </c>
      <c r="O12" s="55" t="n">
        <f aca="false">$C$12*CF!R12/1000</f>
        <v>1.006108533E-005</v>
      </c>
      <c r="P12" s="55" t="n">
        <f aca="false">$C$12*CF!S12/1000</f>
        <v>9.32213556E-006</v>
      </c>
      <c r="Q12" s="55" t="n">
        <f aca="false">$C$12*CF!T12/1000</f>
        <v>0.00041684346</v>
      </c>
      <c r="R12" s="55" t="n">
        <f aca="false">$C$12*CF!U12/1000</f>
        <v>1.089477225E-006</v>
      </c>
      <c r="S12" s="55" t="n">
        <f aca="false">$C$12*CF!V12/1000</f>
        <v>4.14948717E-007</v>
      </c>
      <c r="T12" s="55" t="n">
        <f aca="false">$C$12*CF!W12/1000</f>
        <v>1.097056197E-005</v>
      </c>
      <c r="U12" s="55" t="n">
        <f aca="false">$C$12*CF!X12/1000</f>
        <v>-0.00036000117</v>
      </c>
      <c r="V12" s="57" t="s">
        <v>146</v>
      </c>
      <c r="W12" s="55" t="n">
        <f aca="false">$C$12*CF!Z12/1000</f>
        <v>6.77086609660377E-009</v>
      </c>
      <c r="X12" s="55" t="n">
        <f aca="false">$C$12*CF!AA12/1000</f>
        <v>2.60254058164138E-009</v>
      </c>
      <c r="Y12" s="55" t="n">
        <f aca="false">$C$12*CF!AB12/1000</f>
        <v>4.17993261307692E-009</v>
      </c>
      <c r="Z12" s="55" t="n">
        <f aca="false">$C$12*CF!AC12/1000</f>
        <v>6.27821305556604E-009</v>
      </c>
      <c r="AA12" s="55" t="n">
        <f aca="false">$C$12*CF!AD12/1000</f>
        <v>3.15526384309091E-009</v>
      </c>
      <c r="AB12" s="55" t="n">
        <f aca="false">$C$12*CF!AE12/1000</f>
        <v>7.5143984557187E-009</v>
      </c>
      <c r="AC12" s="55" t="n">
        <f aca="false">$C$12*CF!AF12/1000</f>
        <v>3.84229672381327E-009</v>
      </c>
      <c r="AD12" s="55" t="n">
        <f aca="false">$C$12*CF!AG12/1000</f>
        <v>1.85525713442748E-006</v>
      </c>
      <c r="AE12" s="55" t="n">
        <f aca="false">$C$12*CF!AH12/1000</f>
        <v>9.32890249928571E-008</v>
      </c>
      <c r="AF12" s="55" t="n">
        <f aca="false">$C$12*CF!AI12/1000</f>
        <v>1.51088670501639E-008</v>
      </c>
      <c r="AG12" s="55" t="n">
        <f aca="false">$C$12*CF!AJ12/1000</f>
        <v>2.93416912854839E-007</v>
      </c>
      <c r="AH12" s="55" t="n">
        <f aca="false">$C$12*CF!AK12/1000</f>
        <v>2.31519293105114E-007</v>
      </c>
      <c r="AI12" s="55" t="n">
        <f aca="false">$C$12*CF!AL12/1000</f>
        <v>9.05663169911392E-007</v>
      </c>
      <c r="AJ12" s="55" t="n">
        <f aca="false">$C$12*CF!AM12/1000</f>
        <v>1.33243217419355E-008</v>
      </c>
      <c r="AK12" s="55" t="n">
        <f aca="false">$C$12*CF!AN12/1000</f>
        <v>1.76425021596774E-010</v>
      </c>
      <c r="AL12" s="55" t="n">
        <f aca="false">$C$12*CF!AO12/1000</f>
        <v>3.47149060561607E-012</v>
      </c>
      <c r="AM12" s="55" t="n">
        <f aca="false">$C$12*CF!AP12/1000</f>
        <v>1.1173720525E-008</v>
      </c>
      <c r="AN12" s="55" t="n">
        <f aca="false">$C$12*CF!AQ12/1000</f>
        <v>-1.34733111148515E-006</v>
      </c>
      <c r="AP12" s="55" t="n">
        <f aca="false">$C$12*CF!AS12/1000</f>
        <v>5.02134679890301E-011</v>
      </c>
      <c r="AQ12" s="55" t="n">
        <f aca="false">$C$12*CF!AT12/1000</f>
        <v>1.51094832951348E-013</v>
      </c>
      <c r="AR12" s="55" t="n">
        <f aca="false">$C$12*CF!AU12/1000</f>
        <v>4.14658766752402E-018</v>
      </c>
      <c r="AS12" s="55" t="n">
        <f aca="false">$C$12*CF!AV12/1000</f>
        <v>8.2808112104437E-014</v>
      </c>
      <c r="AT12" s="55" t="n">
        <f aca="false">$C$12*CF!AW12/1000</f>
        <v>1.70802184494769E-014</v>
      </c>
      <c r="AU12" s="55" t="n">
        <f aca="false">$C$12*CF!AX12/1000</f>
        <v>1.17640308249759E-013</v>
      </c>
      <c r="AV12" s="55" t="n">
        <f aca="false">$C$12*CF!AY12/1000</f>
        <v>5.06309757459259E-011</v>
      </c>
      <c r="AW12" s="55" t="n">
        <f aca="false">$C$12*CF!AZ12/1000</f>
        <v>1.71904749088619E-014</v>
      </c>
      <c r="AX12" s="55" t="n">
        <f aca="false">$C$12*CF!BA12/1000</f>
        <v>3.33876974949274E-014</v>
      </c>
      <c r="AY12" s="55" t="n">
        <f aca="false">$C$12*CF!BB12/1000</f>
        <v>8.06393933403345E-013</v>
      </c>
      <c r="AZ12" s="55" t="n">
        <f aca="false">$C$12*CF!BC12/1000</f>
        <v>7.31018978330274E-016</v>
      </c>
      <c r="BA12" s="55" t="n">
        <f aca="false">$C$12*CF!BD12/1000</f>
        <v>2.62337972174586E-015</v>
      </c>
      <c r="BB12" s="55" t="n">
        <f aca="false">$C$12*CF!BE12/1000</f>
        <v>5.12483859188182E-015</v>
      </c>
      <c r="BC12" s="55" t="n">
        <f aca="false">$C$12*CF!BF12/1000</f>
        <v>1.05755689894349E-015</v>
      </c>
      <c r="BD12" s="55" t="n">
        <f aca="false">$C$12*CF!BG12/1000</f>
        <v>3.09754522067346E-011</v>
      </c>
      <c r="BE12" s="55" t="n">
        <f aca="false">$C$12*CF!BH12/1000</f>
        <v>9.534835619694E-011</v>
      </c>
      <c r="BF12" s="55" t="n">
        <f aca="false">$C$12*CF!BI12/1000</f>
        <v>9.65300245110337E-015</v>
      </c>
      <c r="BG12" s="55" t="n">
        <f aca="false">$C$12*CF!BJ12/1000</f>
        <v>9.63273985156593E-008</v>
      </c>
      <c r="BH12" s="55" t="n">
        <f aca="false">$C$12*CF!BK12/1000</f>
        <v>2.59027145435487E-006</v>
      </c>
      <c r="BI12" s="55" t="n">
        <f aca="false">$C$12*CF!BL12/1000</f>
        <v>-6.8792299574247E-010</v>
      </c>
      <c r="BJ12" s="55" t="n">
        <f aca="false">$C$12*CF!BM12/1000</f>
        <v>-4.3841734485174E-012</v>
      </c>
      <c r="BK12" s="55" t="n">
        <f aca="false">$C$12*CF!BN12/1000</f>
        <v>-2.74812761138571E-016</v>
      </c>
      <c r="BM12" s="55" t="n">
        <f aca="false">$C$12*CF!BP12/1000</f>
        <v>-4.60537214965036E-010</v>
      </c>
      <c r="BN12" s="55" t="n">
        <f aca="false">$C$12*CF!BQ12/1000</f>
        <v>-3.35718737929038E-012</v>
      </c>
      <c r="BO12" s="55" t="n">
        <f aca="false">$C$12*CF!BR12/1000</f>
        <v>2.68659885287053E-006</v>
      </c>
      <c r="BQ12" s="55" t="n">
        <f aca="false">$C$12*CF!BT12/1000</f>
        <v>-1.91874924392613E-008</v>
      </c>
      <c r="BR12" s="55" t="n">
        <f aca="false">$C$12*CF!BU12/1000</f>
        <v>-2.26957840137061E-009</v>
      </c>
      <c r="BS12" s="55" t="n">
        <f aca="false">$C$12*CF!BV12/1000</f>
        <v>9.5835948479524E-011</v>
      </c>
      <c r="BU12" s="55" t="n">
        <f aca="false">$C$12*CF!BX12/1000</f>
        <v>-0.00767499697570453</v>
      </c>
      <c r="BV12" s="55" t="n">
        <f aca="false">$C$12*CF!BY12/1000</f>
        <v>-0.000907831360548245</v>
      </c>
      <c r="BW12" s="55" t="n">
        <f aca="false">$C$12*CF!BZ12/1000</f>
        <v>1.91671896959048E-005</v>
      </c>
      <c r="BX12" s="56"/>
    </row>
    <row r="13" s="55" customFormat="true" ht="14.25" hidden="false" customHeight="false" outlineLevel="0" collapsed="false">
      <c r="A13" s="54"/>
      <c r="B13" s="54"/>
      <c r="C13" s="58" t="s">
        <v>167</v>
      </c>
      <c r="D13" s="59" t="n">
        <f aca="false">SUM(D7:D12)</f>
        <v>12.5945768264328</v>
      </c>
      <c r="E13" s="59" t="n">
        <f aca="false">SUM(E7:E12)</f>
        <v>3.3787603858611E-006</v>
      </c>
      <c r="F13" s="59" t="n">
        <f aca="false">SUM(F7:F12)</f>
        <v>0.0390644655774187</v>
      </c>
      <c r="G13" s="59" t="n">
        <f aca="false">SUM(G7:G12)</f>
        <v>0.0200815062313937</v>
      </c>
      <c r="H13" s="59" t="n">
        <f aca="false">SUM(H7:H12)</f>
        <v>0.0115829357278817</v>
      </c>
      <c r="I13" s="59" t="n">
        <f aca="false">SUM(I7:I12)</f>
        <v>0.0210297393167526</v>
      </c>
      <c r="J13" s="59" t="n">
        <f aca="false">SUM(J7:J12)</f>
        <v>0.030066615746697</v>
      </c>
      <c r="K13" s="59" t="n">
        <f aca="false">SUM(K7:K12)</f>
        <v>0.00806075041122203</v>
      </c>
      <c r="L13" s="59" t="n">
        <f aca="false">SUM(L7:L12)</f>
        <v>0.000515511680391337</v>
      </c>
      <c r="M13" s="59" t="n">
        <f aca="false">SUM(M7:M12)</f>
        <v>33.2749581569276</v>
      </c>
      <c r="N13" s="59" t="n">
        <f aca="false">SUM(N7:N12)</f>
        <v>0.778623448500641</v>
      </c>
      <c r="O13" s="59" t="n">
        <f aca="false">SUM(O7:O12)</f>
        <v>0.997018154206177</v>
      </c>
      <c r="P13" s="59" t="n">
        <f aca="false">SUM(P7:P12)</f>
        <v>0.605362585640626</v>
      </c>
      <c r="Q13" s="59" t="n">
        <f aca="false">SUM(Q7:Q12)</f>
        <v>13.4649689341145</v>
      </c>
      <c r="R13" s="59" t="n">
        <f aca="false">SUM(R7:R12)</f>
        <v>0.0783518836040484</v>
      </c>
      <c r="S13" s="59" t="n">
        <f aca="false">SUM(S7:S12)</f>
        <v>0.0230068969765292</v>
      </c>
      <c r="T13" s="59" t="n">
        <f aca="false">SUM(T7:T12)</f>
        <v>3.64979688611617</v>
      </c>
      <c r="U13" s="59" t="n">
        <f aca="false">SUM(U7:U12)</f>
        <v>0.0533278268512794</v>
      </c>
      <c r="V13" s="60"/>
      <c r="W13" s="59" t="n">
        <f aca="false">SUM(W7:W12)</f>
        <v>0.00157366201017902</v>
      </c>
      <c r="X13" s="59" t="n">
        <f aca="false">SUM(X7:X12)</f>
        <v>5.63903457502335E-005</v>
      </c>
      <c r="Y13" s="59" t="n">
        <f aca="false">SUM(Y7:Y12)</f>
        <v>8.13008322059954E-005</v>
      </c>
      <c r="Z13" s="59" t="n">
        <f aca="false">SUM(Z7:Z12)</f>
        <v>0.000975658085770545</v>
      </c>
      <c r="AA13" s="59" t="n">
        <f aca="false">SUM(AA7:AA12)</f>
        <v>0.000452787487544468</v>
      </c>
      <c r="AB13" s="59" t="n">
        <f aca="false">SUM(AB7:AB12)</f>
        <v>0.00118637632930675</v>
      </c>
      <c r="AC13" s="59" t="n">
        <f aca="false">SUM(AC7:AC12)</f>
        <v>0.000732827587732763</v>
      </c>
      <c r="AD13" s="59" t="n">
        <f aca="false">SUM(AD7:AD12)</f>
        <v>0.0124295540692126</v>
      </c>
      <c r="AE13" s="59" t="n">
        <f aca="false">SUM(AE7:AE12)</f>
        <v>0.000112307901799541</v>
      </c>
      <c r="AF13" s="59" t="n">
        <f aca="false">SUM(AF7:AF12)</f>
        <v>0.00219287429165326</v>
      </c>
      <c r="AG13" s="59" t="n">
        <f aca="false">SUM(AG7:AG12)</f>
        <v>0.0308379537847028</v>
      </c>
      <c r="AH13" s="59" t="n">
        <f aca="false">SUM(AH7:AH12)</f>
        <v>0.0229427472984944</v>
      </c>
      <c r="AI13" s="59" t="n">
        <f aca="false">SUM(AI7:AI12)</f>
        <v>0.0588121246176177</v>
      </c>
      <c r="AJ13" s="59" t="n">
        <f aca="false">SUM(AJ7:AJ12)</f>
        <v>0.000430405165342663</v>
      </c>
      <c r="AK13" s="59" t="n">
        <f aca="false">SUM(AK7:AK12)</f>
        <v>1.26879501836233E-005</v>
      </c>
      <c r="AL13" s="59" t="n">
        <f aca="false">SUM(AL7:AL12)</f>
        <v>1.92477343455427E-007</v>
      </c>
      <c r="AM13" s="59" t="n">
        <f aca="false">SUM(AM7:AM12)</f>
        <v>0.00371738571734055</v>
      </c>
      <c r="AN13" s="59" t="n">
        <f aca="false">SUM(AN7:AN12)</f>
        <v>0.000199583351978056</v>
      </c>
      <c r="AO13" s="59"/>
      <c r="AP13" s="59" t="n">
        <f aca="false">SUM(AP7:AP12)</f>
        <v>1.16704459734202E-005</v>
      </c>
      <c r="AQ13" s="59" t="n">
        <f aca="false">SUM(AQ7:AQ12)</f>
        <v>3.51169547820694E-008</v>
      </c>
      <c r="AR13" s="59" t="n">
        <f aca="false">SUM(AR7:AR12)</f>
        <v>9.6373601119249E-013</v>
      </c>
      <c r="AS13" s="59" t="n">
        <f aca="false">SUM(AS7:AS12)</f>
        <v>1.79423833212556E-009</v>
      </c>
      <c r="AT13" s="59" t="n">
        <f aca="false">SUM(AT7:AT12)</f>
        <v>3.32214918933937E-010</v>
      </c>
      <c r="AU13" s="59" t="n">
        <f aca="false">SUM(AU7:AU12)</f>
        <v>1.828174943102E-008</v>
      </c>
      <c r="AV13" s="59" t="n">
        <f aca="false">SUM(AV7:AV12)</f>
        <v>7.26565936795484E-006</v>
      </c>
      <c r="AW13" s="59" t="n">
        <f aca="false">SUM(AW7:AW12)</f>
        <v>2.71403927295E-009</v>
      </c>
      <c r="AX13" s="59" t="n">
        <f aca="false">SUM(AX7:AX12)</f>
        <v>6.36791678880965E-009</v>
      </c>
      <c r="AY13" s="59" t="n">
        <f aca="false">SUM(AY7:AY12)</f>
        <v>5.40254868736293E-009</v>
      </c>
      <c r="AZ13" s="59" t="n">
        <f aca="false">SUM(AZ7:AZ12)</f>
        <v>8.80052156598308E-013</v>
      </c>
      <c r="BA13" s="59" t="n">
        <f aca="false">SUM(BA7:BA12)</f>
        <v>3.80752701705623E-010</v>
      </c>
      <c r="BB13" s="59" t="n">
        <f aca="false">SUM(BB7:BB12)</f>
        <v>5.38617675828044E-010</v>
      </c>
      <c r="BC13" s="59" t="n">
        <f aca="false">SUM(BC7:BC12)</f>
        <v>1.04800167453966E-010</v>
      </c>
      <c r="BD13" s="59" t="n">
        <f aca="false">SUM(BD7:BD12)</f>
        <v>2.01148971912789E-006</v>
      </c>
      <c r="BE13" s="59" t="n">
        <f aca="false">SUM(BE7:BE12)</f>
        <v>3.07996352902042E-006</v>
      </c>
      <c r="BF13" s="59" t="n">
        <f aca="false">SUM(BF7:BF12)</f>
        <v>6.94214534386844E-010</v>
      </c>
      <c r="BG13" s="59" t="n">
        <f aca="false">SUM(BG7:BG12)</f>
        <v>0.00534088778413272</v>
      </c>
      <c r="BH13" s="59" t="n">
        <f aca="false">SUM(BH7:BH12)</f>
        <v>0.861757557557464</v>
      </c>
      <c r="BI13" s="59" t="n">
        <f aca="false">SUM(BI7:BI12)</f>
        <v>1.01903664379668E-007</v>
      </c>
      <c r="BJ13" s="59" t="n">
        <f aca="false">SUM(BJ7:BJ12)</f>
        <v>6.49438007516788E-010</v>
      </c>
      <c r="BK13" s="59" t="n">
        <f aca="false">SUM(BK7:BK12)</f>
        <v>4.07086658705018E-014</v>
      </c>
      <c r="BL13" s="59"/>
      <c r="BM13" s="59" t="n">
        <f aca="false">SUM(BM7:BM12)</f>
        <v>2.41498704565851E-005</v>
      </c>
      <c r="BN13" s="59" t="n">
        <f aca="false">SUM(BN7:BN12)</f>
        <v>5.1971167114917E-008</v>
      </c>
      <c r="BO13" s="59" t="n">
        <f aca="false">SUM(BO7:BO12)</f>
        <v>0.867098445341597</v>
      </c>
      <c r="BP13" s="59"/>
      <c r="BQ13" s="59" t="n">
        <f aca="false">SUM(BQ7:BQ12)</f>
        <v>0.00100616289354607</v>
      </c>
      <c r="BR13" s="59" t="n">
        <f aca="false">SUM(BR7:BR12)</f>
        <v>3.51343625040584E-005</v>
      </c>
      <c r="BS13" s="59" t="n">
        <f aca="false">SUM(BS7:BS12)</f>
        <v>3.09310047704533E-005</v>
      </c>
      <c r="BT13" s="59"/>
      <c r="BU13" s="59" t="n">
        <f aca="false">SUM(BU7:BU12)</f>
        <v>402.465157418427</v>
      </c>
      <c r="BV13" s="59" t="n">
        <f aca="false">SUM(BV7:BV12)</f>
        <v>14.0537450016234</v>
      </c>
      <c r="BW13" s="59" t="n">
        <f aca="false">SUM(BW7:BW12)</f>
        <v>6.18620095409067</v>
      </c>
      <c r="BX13" s="61" t="n">
        <f aca="false">SUM(BU13:BW13)</f>
        <v>422.705103374141</v>
      </c>
    </row>
    <row r="14" customFormat="false" ht="14.25" hidden="false" customHeight="false" outlineLevel="0" collapsed="false">
      <c r="A14" s="51"/>
      <c r="B14" s="49"/>
      <c r="C14" s="47"/>
      <c r="V14" s="62"/>
    </row>
    <row r="15" customFormat="false" ht="14.25" hidden="false" customHeight="false" outlineLevel="0" collapsed="false">
      <c r="A15" s="51"/>
      <c r="B15" s="49"/>
      <c r="C15" s="47"/>
      <c r="V15" s="62"/>
    </row>
    <row r="16" customFormat="false" ht="14.25" hidden="false" customHeight="false" outlineLevel="0" collapsed="false">
      <c r="V16" s="62"/>
    </row>
    <row r="17" s="63" customFormat="true" ht="14.25" hidden="false" customHeight="false" outlineLevel="0" collapsed="false">
      <c r="V17" s="64"/>
    </row>
    <row r="18" customFormat="false" ht="28.5" hidden="false" customHeight="true" outlineLevel="0" collapsed="false">
      <c r="A18" s="50" t="s">
        <v>152</v>
      </c>
      <c r="B18" s="47" t="s">
        <v>153</v>
      </c>
      <c r="C18" s="65" t="s">
        <v>168</v>
      </c>
      <c r="E18" s="50"/>
      <c r="V18" s="62"/>
    </row>
    <row r="19" customFormat="false" ht="28.5" hidden="false" customHeight="true" outlineLevel="0" collapsed="false">
      <c r="A19" s="66" t="s">
        <v>155</v>
      </c>
      <c r="B19" s="49" t="s">
        <v>156</v>
      </c>
      <c r="C19" s="47" t="n">
        <v>1</v>
      </c>
      <c r="E19" s="51"/>
      <c r="V19" s="62"/>
    </row>
    <row r="20" s="55" customFormat="true" ht="42.75" hidden="false" customHeight="true" outlineLevel="0" collapsed="false">
      <c r="A20" s="54" t="s">
        <v>157</v>
      </c>
      <c r="B20" s="54" t="s">
        <v>156</v>
      </c>
      <c r="C20" s="50" t="n">
        <v>1.052632</v>
      </c>
      <c r="D20" s="56" t="n">
        <f aca="false">$C$20*CF!G8/1000</f>
        <v>0.00720000288</v>
      </c>
      <c r="E20" s="56" t="n">
        <f aca="false">$C$20*CF!H8/1000</f>
        <v>2.08421136E-009</v>
      </c>
      <c r="F20" s="56" t="n">
        <f aca="false">$C$20*CF!I8/1000</f>
        <v>0.00022631588</v>
      </c>
      <c r="G20" s="56" t="n">
        <f aca="false">$C$20*CF!J8/1000</f>
        <v>1.88421128E-005</v>
      </c>
      <c r="H20" s="56" t="n">
        <f aca="false">$C$20*CF!K8/1000</f>
        <v>1.67368488E-005</v>
      </c>
      <c r="I20" s="56" t="n">
        <f aca="false">$C$20*CF!L8/1000</f>
        <v>1.93684288E-005</v>
      </c>
      <c r="J20" s="56" t="n">
        <f aca="false">$C$20*CF!M8/1000</f>
        <v>4.3157912E-005</v>
      </c>
      <c r="K20" s="56" t="n">
        <f aca="false">$C$20*CF!N8/1000</f>
        <v>4.49473864E-006</v>
      </c>
      <c r="L20" s="56" t="n">
        <f aca="false">$C$20*CF!O8/1000</f>
        <v>2.80000112E-007</v>
      </c>
      <c r="M20" s="56" t="n">
        <f aca="false">$C$20*CF!P8/1000</f>
        <v>0.038947384</v>
      </c>
      <c r="N20" s="56" t="n">
        <f aca="false">$C$20*CF!Q8/1000</f>
        <v>0.000507368624</v>
      </c>
      <c r="O20" s="56" t="n">
        <f aca="false">$C$20*CF!R8/1000</f>
        <v>0.00067368448</v>
      </c>
      <c r="P20" s="56" t="n">
        <f aca="false">$C$20*CF!S8/1000</f>
        <v>0.000356842248</v>
      </c>
      <c r="Q20" s="56" t="n">
        <f aca="false">$C$20*CF!T8/1000</f>
        <v>0.0109473728</v>
      </c>
      <c r="R20" s="56" t="n">
        <f aca="false">$C$20*CF!U8/1000</f>
        <v>0.000337894872</v>
      </c>
      <c r="S20" s="56" t="n">
        <f aca="false">$C$20*CF!V8/1000</f>
        <v>0.00102105304</v>
      </c>
      <c r="T20" s="56" t="n">
        <f aca="false">$C$20*CF!W8/1000</f>
        <v>0.0016842112</v>
      </c>
      <c r="U20" s="56" t="n">
        <f aca="false">$C$20*CF!X8/1000</f>
        <v>6.93684488E-005</v>
      </c>
      <c r="V20" s="57" t="s">
        <v>158</v>
      </c>
      <c r="W20" s="56" t="n">
        <f aca="false">$C$20*CF!Z8/1000</f>
        <v>8.9962300135849E-007</v>
      </c>
      <c r="X20" s="56" t="n">
        <f aca="false">$C$20*CF!AA8/1000</f>
        <v>3.47847689048276E-008</v>
      </c>
      <c r="Y20" s="56" t="n">
        <f aca="false">$C$20*CF!AB8/1000</f>
        <v>4.71007835726496E-007</v>
      </c>
      <c r="Z20" s="56" t="n">
        <f aca="false">$C$20*CF!AC8/1000</f>
        <v>9.15442272830189E-007</v>
      </c>
      <c r="AA20" s="56" t="n">
        <f aca="false">$C$20*CF!AD8/1000</f>
        <v>6.54258634909091E-007</v>
      </c>
      <c r="AB20" s="56" t="n">
        <f aca="false">$C$20*CF!AE8/1000</f>
        <v>1.09265479319938E-006</v>
      </c>
      <c r="AC20" s="56" t="n">
        <f aca="false">$C$20*CF!AF8/1000</f>
        <v>1.05190783056511E-006</v>
      </c>
      <c r="AD20" s="56" t="n">
        <f aca="false">$C$20*CF!AG8/1000</f>
        <v>6.93081836091603E-006</v>
      </c>
      <c r="AE20" s="56" t="n">
        <f aca="false">$C$20*CF!AH8/1000</f>
        <v>6.10000244E-008</v>
      </c>
      <c r="AF20" s="56" t="n">
        <f aca="false">$C$20*CF!AI8/1000</f>
        <v>2.56669645377049E-006</v>
      </c>
      <c r="AG20" s="56" t="n">
        <f aca="false">$C$20*CF!AJ8/1000</f>
        <v>2.00947071512545E-005</v>
      </c>
      <c r="AH20" s="56" t="n">
        <f aca="false">$C$20*CF!AK8/1000</f>
        <v>1.55023985454545E-005</v>
      </c>
      <c r="AI20" s="56" t="n">
        <f aca="false">$C$20*CF!AL8/1000</f>
        <v>3.46679019417722E-005</v>
      </c>
      <c r="AJ20" s="56" t="n">
        <f aca="false">$C$20*CF!AM8/1000</f>
        <v>3.49930684809384E-007</v>
      </c>
      <c r="AK20" s="56" t="n">
        <f aca="false">$C$20*CF!AN8/1000</f>
        <v>5.47171695948387E-008</v>
      </c>
      <c r="AL20" s="56" t="n">
        <f aca="false">$C$20*CF!AO8/1000</f>
        <v>8.542202665E-009</v>
      </c>
      <c r="AM20" s="56" t="n">
        <f aca="false">$C$20*CF!AP8/1000</f>
        <v>1.7154002962963E-006</v>
      </c>
      <c r="AN20" s="56" t="n">
        <f aca="false">$C$20*CF!AQ8/1000</f>
        <v>2.59616570756436E-007</v>
      </c>
      <c r="AO20" s="56"/>
      <c r="AP20" s="56" t="n">
        <f aca="false">$C$20*CF!AS8/1000</f>
        <v>6.67170050867913E-009</v>
      </c>
      <c r="AQ20" s="56" t="n">
        <f aca="false">$C$20*CF!AT8/1000</f>
        <v>2.00754800301888E-011</v>
      </c>
      <c r="AR20" s="56" t="n">
        <f aca="false">$C$20*CF!AU8/1000</f>
        <v>5.5094364437737E-016</v>
      </c>
      <c r="AS20" s="56" t="n">
        <f aca="false">$C$20*CF!AV8/1000</f>
        <v>1.10678813745192E-012</v>
      </c>
      <c r="AT20" s="56" t="n">
        <f aca="false">$C$20*CF!AW8/1000</f>
        <v>1.92465225407112E-012</v>
      </c>
      <c r="AU20" s="56" t="n">
        <f aca="false">$C$20*CF!AX8/1000</f>
        <v>1.71534336613707E-011</v>
      </c>
      <c r="AV20" s="56" t="n">
        <f aca="false">$C$20*CF!AY8/1000</f>
        <v>1.04985683362678E-008</v>
      </c>
      <c r="AW20" s="56" t="n">
        <f aca="false">$C$20*CF!AZ8/1000</f>
        <v>2.49963518932736E-012</v>
      </c>
      <c r="AX20" s="56" t="n">
        <f aca="false">$C$20*CF!BA8/1000</f>
        <v>9.1405695509632E-012</v>
      </c>
      <c r="AY20" s="56" t="n">
        <f aca="false">$C$20*CF!BB8/1000</f>
        <v>3.01250418394856E-012</v>
      </c>
      <c r="AZ20" s="56" t="n">
        <f aca="false">$C$20*CF!BC8/1000</f>
        <v>4.78000231200016E-016</v>
      </c>
      <c r="BA20" s="56" t="n">
        <f aca="false">$C$20*CF!BD8/1000</f>
        <v>4.4566011510608E-013</v>
      </c>
      <c r="BB20" s="56" t="n">
        <f aca="false">$C$20*CF!BE8/1000</f>
        <v>3.50975442074331E-013</v>
      </c>
      <c r="BC20" s="56" t="n">
        <f aca="false">$C$20*CF!BF8/1000</f>
        <v>7.0813400956928E-014</v>
      </c>
      <c r="BD20" s="56" t="n">
        <f aca="false">$C$20*CF!BG8/1000</f>
        <v>1.18571006902068E-009</v>
      </c>
      <c r="BE20" s="56" t="n">
        <f aca="false">$C$20*CF!BH8/1000</f>
        <v>2.5040911068992E-009</v>
      </c>
      <c r="BF20" s="56" t="n">
        <f aca="false">$C$20*CF!BI8/1000</f>
        <v>2.99382121331748E-012</v>
      </c>
      <c r="BG20" s="56" t="n">
        <f aca="false">$C$20*CF!BJ8/1000</f>
        <v>0.000237030213759416</v>
      </c>
      <c r="BH20" s="56" t="n">
        <f aca="false">$C$20*CF!BK8/1000</f>
        <v>0.00039766095906432</v>
      </c>
      <c r="BI20" s="56" t="n">
        <f aca="false">$C$20*CF!BL8/1000</f>
        <v>1.32555544495881E-010</v>
      </c>
      <c r="BJ20" s="56" t="n">
        <f aca="false">$C$20*CF!BM8/1000</f>
        <v>8.44784230545136E-013</v>
      </c>
      <c r="BK20" s="56" t="n">
        <f aca="false">$C$20*CF!BN8/1000</f>
        <v>5.29535360971954E-017</v>
      </c>
      <c r="BL20" s="56"/>
      <c r="BM20" s="56" t="n">
        <f aca="false">$C$20*CF!BP8/1000</f>
        <v>2.10128104394156E-008</v>
      </c>
      <c r="BN20" s="56" t="n">
        <f aca="false">$C$20*CF!BQ8/1000</f>
        <v>3.94353252538396E-011</v>
      </c>
      <c r="BO20" s="56" t="n">
        <f aca="false">$C$20*CF!BR8/1000</f>
        <v>0.000634691172823736</v>
      </c>
      <c r="BP20" s="56"/>
      <c r="BQ20" s="56" t="n">
        <f aca="false">$C$20*CF!BT8/1000</f>
        <v>8.75462673444375E-007</v>
      </c>
      <c r="BR20" s="56" t="n">
        <f aca="false">$C$20*CF!BU8/1000</f>
        <v>2.66596863193431E-008</v>
      </c>
      <c r="BS20" s="56" t="n">
        <f aca="false">$C$20*CF!BV8/1000</f>
        <v>2.26406076493905E-008</v>
      </c>
      <c r="BT20" s="56"/>
      <c r="BU20" s="56" t="n">
        <f aca="false">$C$20*CF!BX8/1000</f>
        <v>0.35018506937775</v>
      </c>
      <c r="BV20" s="56" t="n">
        <f aca="false">$C$20*CF!BY8/1000</f>
        <v>0.0106638745277373</v>
      </c>
      <c r="BW20" s="56" t="n">
        <f aca="false">$C$20*CF!BZ8/1000</f>
        <v>0.00452812152987811</v>
      </c>
    </row>
    <row r="21" s="55" customFormat="true" ht="14.25" hidden="false" customHeight="false" outlineLevel="0" collapsed="false">
      <c r="A21" s="54" t="s">
        <v>159</v>
      </c>
      <c r="B21" s="54" t="s">
        <v>156</v>
      </c>
      <c r="C21" s="50" t="n">
        <v>1.65263157894737</v>
      </c>
      <c r="D21" s="56" t="n">
        <f aca="false">$C$21*CF!G9/1000</f>
        <v>0.00285905263157895</v>
      </c>
      <c r="E21" s="56" t="n">
        <f aca="false">$C$21*CF!H9/1000</f>
        <v>1.29731578947368E-008</v>
      </c>
      <c r="F21" s="56" t="n">
        <f aca="false">$C$21*CF!I9/1000</f>
        <v>0.000136672631578947</v>
      </c>
      <c r="G21" s="56" t="n">
        <f aca="false">$C$21*CF!J9/1000</f>
        <v>8.29621052631579E-006</v>
      </c>
      <c r="H21" s="56" t="n">
        <f aca="false">$C$21*CF!K9/1000</f>
        <v>5.04052631578948E-006</v>
      </c>
      <c r="I21" s="56" t="n">
        <f aca="false">$C$21*CF!L9/1000</f>
        <v>8.59368421052632E-006</v>
      </c>
      <c r="J21" s="56" t="n">
        <f aca="false">$C$21*CF!M9/1000</f>
        <v>1.44274736842105E-005</v>
      </c>
      <c r="K21" s="56" t="n">
        <f aca="false">$C$21*CF!N9/1000</f>
        <v>1.09238947368421E-006</v>
      </c>
      <c r="L21" s="56" t="n">
        <f aca="false">$C$21*CF!O9/1000</f>
        <v>1.61296842105263E-006</v>
      </c>
      <c r="M21" s="56" t="n">
        <f aca="false">$C$21*CF!P9/1000</f>
        <v>0.0175178947368421</v>
      </c>
      <c r="N21" s="56" t="n">
        <f aca="false">$C$21*CF!Q9/1000</f>
        <v>0.000175178947368421</v>
      </c>
      <c r="O21" s="56" t="n">
        <f aca="false">$C$21*CF!R9/1000</f>
        <v>0.0002198</v>
      </c>
      <c r="P21" s="56" t="n">
        <f aca="false">$C$21*CF!S9/1000</f>
        <v>0.000185094736842105</v>
      </c>
      <c r="Q21" s="56" t="n">
        <f aca="false">$C$21*CF!T9/1000</f>
        <v>0.00328873684210526</v>
      </c>
      <c r="R21" s="56" t="n">
        <f aca="false">$C$21*CF!U9/1000</f>
        <v>0.000789957894736842</v>
      </c>
      <c r="S21" s="56" t="n">
        <f aca="false">$C$21*CF!V9/1000</f>
        <v>1.52042105263158E-005</v>
      </c>
      <c r="T21" s="56" t="n">
        <f aca="false">$C$21*CF!W9/1000</f>
        <v>0.00066601052631579</v>
      </c>
      <c r="U21" s="56" t="n">
        <f aca="false">$C$21*CF!X9/1000</f>
        <v>0.000201621052631579</v>
      </c>
      <c r="V21" s="57" t="s">
        <v>159</v>
      </c>
      <c r="W21" s="56" t="n">
        <f aca="false">$C$21*CF!Z9/1000</f>
        <v>3.57231733421604E-007</v>
      </c>
      <c r="X21" s="56" t="n">
        <f aca="false">$C$21*CF!AA9/1000</f>
        <v>2.16517531760436E-007</v>
      </c>
      <c r="Y21" s="56" t="n">
        <f aca="false">$C$21*CF!AB9/1000</f>
        <v>2.84442613585245E-007</v>
      </c>
      <c r="Z21" s="56" t="n">
        <f aca="false">$C$21*CF!AC9/1000</f>
        <v>4.03070605759682E-007</v>
      </c>
      <c r="AA21" s="56" t="n">
        <f aca="false">$C$21*CF!AD9/1000</f>
        <v>1.97038755980861E-007</v>
      </c>
      <c r="AB21" s="56" t="n">
        <f aca="false">$C$21*CF!AE9/1000</f>
        <v>4.84805987147157E-007</v>
      </c>
      <c r="AC21" s="56" t="n">
        <f aca="false">$C$21*CF!AF9/1000</f>
        <v>3.516475158412E-007</v>
      </c>
      <c r="AD21" s="56" t="n">
        <f aca="false">$C$21*CF!AG9/1000</f>
        <v>1.68444789071917E-006</v>
      </c>
      <c r="AE21" s="56" t="n">
        <f aca="false">$C$21*CF!AH9/1000</f>
        <v>3.51396691729323E-007</v>
      </c>
      <c r="AF21" s="56" t="n">
        <f aca="false">$C$21*CF!AI9/1000</f>
        <v>1.15445798101812E-006</v>
      </c>
      <c r="AG21" s="56" t="n">
        <f aca="false">$C$21*CF!AJ9/1000</f>
        <v>6.93809092624033E-006</v>
      </c>
      <c r="AH21" s="56" t="n">
        <f aca="false">$C$21*CF!AK9/1000</f>
        <v>5.05789772727273E-006</v>
      </c>
      <c r="AI21" s="56" t="n">
        <f aca="false">$C$21*CF!AL9/1000</f>
        <v>1.79823051299134E-005</v>
      </c>
      <c r="AJ21" s="56" t="n">
        <f aca="false">$C$21*CF!AM9/1000</f>
        <v>1.05123846272573E-007</v>
      </c>
      <c r="AK21" s="56" t="n">
        <f aca="false">$C$21*CF!AN9/1000</f>
        <v>1.27922213921902E-007</v>
      </c>
      <c r="AL21" s="56" t="n">
        <f aca="false">$C$21*CF!AO9/1000</f>
        <v>1.27199511278196E-010</v>
      </c>
      <c r="AM21" s="56" t="n">
        <f aca="false">$C$21*CF!AP9/1000</f>
        <v>6.78344054580897E-007</v>
      </c>
      <c r="AN21" s="56" t="n">
        <f aca="false">$C$21*CF!AQ9/1000</f>
        <v>7.54581761334029E-007</v>
      </c>
      <c r="AO21" s="56"/>
      <c r="AP21" s="56" t="n">
        <f aca="false">$C$21*CF!AS9/1000</f>
        <v>2.64926878702105E-009</v>
      </c>
      <c r="AQ21" s="56" t="n">
        <f aca="false">$C$21*CF!AT9/1000</f>
        <v>7.97178209052632E-012</v>
      </c>
      <c r="AR21" s="56" t="n">
        <f aca="false">$C$21*CF!AU9/1000</f>
        <v>2.18774478644211E-016</v>
      </c>
      <c r="AS21" s="56" t="n">
        <f aca="false">$C$21*CF!AV9/1000</f>
        <v>6.88919441605263E-012</v>
      </c>
      <c r="AT21" s="56" t="n">
        <f aca="false">$C$21*CF!AW9/1000</f>
        <v>1.16230150724842E-012</v>
      </c>
      <c r="AU21" s="56" t="n">
        <f aca="false">$C$21*CF!AX9/1000</f>
        <v>7.5526825688E-012</v>
      </c>
      <c r="AV21" s="56" t="n">
        <f aca="false">$C$21*CF!AY9/1000</f>
        <v>3.16178455152632E-009</v>
      </c>
      <c r="AW21" s="56" t="n">
        <f aca="false">$C$21*CF!AZ9/1000</f>
        <v>1.10907682189474E-012</v>
      </c>
      <c r="AX21" s="56" t="n">
        <f aca="false">$C$21*CF!BA9/1000</f>
        <v>3.05564659048421E-012</v>
      </c>
      <c r="AY21" s="56" t="n">
        <f aca="false">$C$21*CF!BB9/1000</f>
        <v>7.32151104557895E-013</v>
      </c>
      <c r="AZ21" s="56" t="n">
        <f aca="false">$C$21*CF!BC9/1000</f>
        <v>2.75356774922105E-015</v>
      </c>
      <c r="BA21" s="56" t="n">
        <f aca="false">$C$21*CF!BD9/1000</f>
        <v>2.00450612673684E-013</v>
      </c>
      <c r="BB21" s="56" t="n">
        <f aca="false">$C$21*CF!BE9/1000</f>
        <v>1.21181140469474E-013</v>
      </c>
      <c r="BC21" s="56" t="n">
        <f aca="false">$C$21*CF!BF9/1000</f>
        <v>2.310396928E-014</v>
      </c>
      <c r="BD21" s="56" t="n">
        <f aca="false">$C$21*CF!BG9/1000</f>
        <v>6.15030015157895E-010</v>
      </c>
      <c r="BE21" s="56" t="n">
        <f aca="false">$C$21*CF!BH9/1000</f>
        <v>7.52262376526316E-010</v>
      </c>
      <c r="BF21" s="56" t="n">
        <f aca="false">$C$21*CF!BI9/1000</f>
        <v>6.99919678831579E-012</v>
      </c>
      <c r="BG21" s="56" t="n">
        <f aca="false">$C$21*CF!BJ9/1000</f>
        <v>3.52954952378947E-006</v>
      </c>
      <c r="BH21" s="56" t="n">
        <f aca="false">$C$21*CF!BK9/1000</f>
        <v>0.00015725247798</v>
      </c>
      <c r="BI21" s="56" t="n">
        <f aca="false">$C$21*CF!BL9/1000</f>
        <v>3.85275854884211E-010</v>
      </c>
      <c r="BJ21" s="56" t="n">
        <f aca="false">$C$21*CF!BM9/1000</f>
        <v>2.45538553557895E-012</v>
      </c>
      <c r="BK21" s="56" t="n">
        <f aca="false">$C$21*CF!BN9/1000</f>
        <v>1.53910716949474E-016</v>
      </c>
      <c r="BL21" s="56"/>
      <c r="BM21" s="56" t="n">
        <f aca="false">$C$21*CF!BP9/1000</f>
        <v>7.57922576360789E-009</v>
      </c>
      <c r="BN21" s="56" t="n">
        <f aca="false">$C$21*CF!BQ9/1000</f>
        <v>2.26711009067259E-011</v>
      </c>
      <c r="BO21" s="56" t="n">
        <f aca="false">$C$21*CF!BR9/1000</f>
        <v>0.00016078202750379</v>
      </c>
      <c r="BP21" s="56"/>
      <c r="BQ21" s="56" t="n">
        <f aca="false">$C$21*CF!BT9/1000</f>
        <v>3.15775429887293E-007</v>
      </c>
      <c r="BR21" s="56" t="n">
        <f aca="false">$C$21*CF!BU9/1000</f>
        <v>1.53264727702136E-008</v>
      </c>
      <c r="BS21" s="56" t="n">
        <f aca="false">$C$21*CF!BV9/1000</f>
        <v>5.73539219962928E-009</v>
      </c>
      <c r="BT21" s="56"/>
      <c r="BU21" s="56" t="n">
        <f aca="false">$C$21*CF!BX9/1000</f>
        <v>0.126310171954917</v>
      </c>
      <c r="BV21" s="56" t="n">
        <f aca="false">$C$21*CF!BY9/1000</f>
        <v>0.00613058910808543</v>
      </c>
      <c r="BW21" s="56" t="n">
        <f aca="false">$C$21*CF!BZ9/1000</f>
        <v>0.00114707843992586</v>
      </c>
    </row>
    <row r="22" s="55" customFormat="true" ht="14.25" hidden="false" customHeight="false" outlineLevel="0" collapsed="false">
      <c r="A22" s="54" t="s">
        <v>143</v>
      </c>
      <c r="B22" s="54" t="s">
        <v>156</v>
      </c>
      <c r="C22" s="50" t="n">
        <v>0.0757894736842105</v>
      </c>
      <c r="D22" s="56" t="n">
        <f aca="false">$C$22*CF!G10/1000</f>
        <v>0.00015090820339326</v>
      </c>
      <c r="E22" s="56" t="n">
        <f aca="false">$C$22*CF!H10/1000</f>
        <v>2.96906431461328E-010</v>
      </c>
      <c r="F22" s="56" t="n">
        <f aca="false">$C$22*CF!I10/1000</f>
        <v>8.49942155978676E-006</v>
      </c>
      <c r="G22" s="56" t="n">
        <f aca="false">$C$22*CF!J10/1000</f>
        <v>1.36670581483144E-006</v>
      </c>
      <c r="H22" s="56" t="n">
        <f aca="false">$C$22*CF!K10/1000</f>
        <v>2.91950996414501E-006</v>
      </c>
      <c r="I22" s="56" t="n">
        <f aca="false">$C$22*CF!L10/1000</f>
        <v>1.39516144912323E-006</v>
      </c>
      <c r="J22" s="56" t="n">
        <f aca="false">$C$22*CF!M10/1000</f>
        <v>8.21316888520713E-006</v>
      </c>
      <c r="K22" s="56" t="n">
        <f aca="false">$C$22*CF!N10/1000</f>
        <v>1.28269694434573E-006</v>
      </c>
      <c r="L22" s="56" t="n">
        <f aca="false">$C$22*CF!O10/1000</f>
        <v>2.90370339844565E-008</v>
      </c>
      <c r="M22" s="56" t="n">
        <f aca="false">$C$22*CF!P10/1000</f>
        <v>0.058858735697781</v>
      </c>
      <c r="N22" s="56" t="n">
        <f aca="false">$C$22*CF!Q10/1000</f>
        <v>0.00107652953064242</v>
      </c>
      <c r="O22" s="56" t="n">
        <f aca="false">$C$22*CF!R10/1000</f>
        <v>0.00135831499874666</v>
      </c>
      <c r="P22" s="56" t="n">
        <f aca="false">$C$22*CF!S10/1000</f>
        <v>6.30828095233879E-005</v>
      </c>
      <c r="Q22" s="56" t="n">
        <f aca="false">$C$22*CF!T10/1000</f>
        <v>0.0131788692123918</v>
      </c>
      <c r="R22" s="56" t="n">
        <f aca="false">$C$22*CF!U10/1000</f>
        <v>9.88717608655786E-006</v>
      </c>
      <c r="S22" s="56" t="n">
        <f aca="false">$C$22*CF!V10/1000</f>
        <v>2.16327554158736E-005</v>
      </c>
      <c r="T22" s="56" t="n">
        <f aca="false">$C$22*CF!W10/1000</f>
        <v>4.31997498877556E-005</v>
      </c>
      <c r="U22" s="56" t="n">
        <f aca="false">$C$22*CF!X10/1000</f>
        <v>3.15258484782183E-006</v>
      </c>
      <c r="V22" s="57" t="s">
        <v>143</v>
      </c>
      <c r="W22" s="56" t="n">
        <f aca="false">$C$22*CF!Z10/1000</f>
        <v>1.88556161891788E-008</v>
      </c>
      <c r="X22" s="56" t="n">
        <f aca="false">$C$22*CF!AA10/1000</f>
        <v>4.95526595956147E-009</v>
      </c>
      <c r="Y22" s="56" t="n">
        <f aca="false">$C$22*CF!AB10/1000</f>
        <v>1.76889670923767E-008</v>
      </c>
      <c r="Z22" s="56" t="n">
        <f aca="false">$C$22*CF!AC10/1000</f>
        <v>6.64012730790749E-008</v>
      </c>
      <c r="AA22" s="56" t="n">
        <f aca="false">$C$22*CF!AD10/1000</f>
        <v>1.14126298598396E-007</v>
      </c>
      <c r="AB22" s="56" t="n">
        <f aca="false">$C$22*CF!AE10/1000</f>
        <v>7.87069441931961E-008</v>
      </c>
      <c r="AC22" s="56" t="n">
        <f aca="false">$C$22*CF!AF10/1000</f>
        <v>2.00183379216842E-007</v>
      </c>
      <c r="AD22" s="56" t="n">
        <f aca="false">$C$22*CF!AG10/1000</f>
        <v>1.97789910502165E-006</v>
      </c>
      <c r="AE22" s="56" t="n">
        <f aca="false">$C$22*CF!AH10/1000</f>
        <v>6.32592526089945E-009</v>
      </c>
      <c r="AF22" s="56" t="n">
        <f aca="false">$C$22*CF!AI10/1000</f>
        <v>3.87888717221442E-006</v>
      </c>
      <c r="AG22" s="56" t="n">
        <f aca="false">$C$22*CF!AJ10/1000</f>
        <v>4.26367430594936E-005</v>
      </c>
      <c r="AH22" s="56" t="n">
        <f aca="false">$C$22*CF!AK10/1000</f>
        <v>3.12566803688861E-005</v>
      </c>
      <c r="AI22" s="56" t="n">
        <f aca="false">$C$22*CF!AL10/1000</f>
        <v>6.12861472268358E-006</v>
      </c>
      <c r="AJ22" s="56" t="n">
        <f aca="false">$C$22*CF!AM10/1000</f>
        <v>4.21260042272934E-007</v>
      </c>
      <c r="AK22" s="56" t="n">
        <f aca="false">$C$22*CF!AN10/1000</f>
        <v>1.60108464369421E-009</v>
      </c>
      <c r="AL22" s="56" t="n">
        <f aca="false">$C$22*CF!AO10/1000</f>
        <v>1.80981177006014E-010</v>
      </c>
      <c r="AM22" s="56" t="n">
        <f aca="false">$C$22*CF!AP10/1000</f>
        <v>4.39997452560473E-008</v>
      </c>
      <c r="AN22" s="56" t="n">
        <f aca="false">$C$22*CF!AQ10/1000</f>
        <v>1.17987828958084E-008</v>
      </c>
      <c r="AO22" s="56"/>
      <c r="AP22" s="56" t="n">
        <f aca="false">$C$22*CF!AS10/1000</f>
        <v>1.39835268696819E-010</v>
      </c>
      <c r="AQ22" s="56" t="n">
        <f aca="false">$C$22*CF!AT10/1000</f>
        <v>4.20771307193292E-013</v>
      </c>
      <c r="AR22" s="56" t="n">
        <f aca="false">$C$22*CF!AU10/1000</f>
        <v>1.1547483650996E-017</v>
      </c>
      <c r="AS22" s="56" t="n">
        <f aca="false">$C$22*CF!AV10/1000</f>
        <v>1.57667558377851E-013</v>
      </c>
      <c r="AT22" s="56" t="n">
        <f aca="false">$C$22*CF!AW10/1000</f>
        <v>7.2281409785934E-014</v>
      </c>
      <c r="AU22" s="56" t="n">
        <f aca="false">$C$22*CF!AX10/1000</f>
        <v>1.24421808627113E-012</v>
      </c>
      <c r="AV22" s="56" t="n">
        <f aca="false">$C$22*CF!AY10/1000</f>
        <v>1.83132889788615E-009</v>
      </c>
      <c r="AW22" s="56" t="n">
        <f aca="false">$C$22*CF!AZ10/1000</f>
        <v>1.80055630171786E-013</v>
      </c>
      <c r="AX22" s="56" t="n">
        <f aca="false">$C$22*CF!BA10/1000</f>
        <v>1.739496605606E-012</v>
      </c>
      <c r="AY22" s="56" t="n">
        <f aca="false">$C$22*CF!BB10/1000</f>
        <v>8.59700690311891E-013</v>
      </c>
      <c r="AZ22" s="56" t="n">
        <f aca="false">$C$22*CF!BC10/1000</f>
        <v>4.9570369307327E-017</v>
      </c>
      <c r="BA22" s="56" t="n">
        <f aca="false">$C$22*CF!BD10/1000</f>
        <v>6.73498146270143E-013</v>
      </c>
      <c r="BB22" s="56" t="n">
        <f aca="false">$C$22*CF!BE10/1000</f>
        <v>7.44696084957935E-013</v>
      </c>
      <c r="BC22" s="56" t="n">
        <f aca="false">$C$22*CF!BF10/1000</f>
        <v>1.42777379452257E-013</v>
      </c>
      <c r="BD22" s="56" t="n">
        <f aca="false">$C$22*CF!BG10/1000</f>
        <v>2.09610613242171E-010</v>
      </c>
      <c r="BE22" s="56" t="n">
        <f aca="false">$C$22*CF!BH10/1000</f>
        <v>3.01452136477329E-009</v>
      </c>
      <c r="BF22" s="56" t="n">
        <f aca="false">$C$22*CF!BI10/1000</f>
        <v>8.76025058697612E-014</v>
      </c>
      <c r="BG22" s="56" t="n">
        <f aca="false">$C$22*CF!BJ10/1000</f>
        <v>5.0218905772316E-006</v>
      </c>
      <c r="BH22" s="56" t="n">
        <f aca="false">$C$22*CF!BK10/1000</f>
        <v>1.01999404657228E-005</v>
      </c>
      <c r="BI22" s="56" t="n">
        <f aca="false">$C$22*CF!BL10/1000</f>
        <v>6.0242460124391E-012</v>
      </c>
      <c r="BJ22" s="56" t="n">
        <f aca="false">$C$22*CF!BM10/1000</f>
        <v>3.83928718454407E-014</v>
      </c>
      <c r="BK22" s="56" t="n">
        <f aca="false">$C$22*CF!BN10/1000</f>
        <v>2.40657703071781E-018</v>
      </c>
      <c r="BL22" s="56"/>
      <c r="BM22" s="56" t="n">
        <f aca="false">$C$22*CF!BP10/1000</f>
        <v>5.20279455766529E-009</v>
      </c>
      <c r="BN22" s="56" t="n">
        <f aca="false">$C$22*CF!BQ10/1000</f>
        <v>4.8870547461085E-012</v>
      </c>
      <c r="BO22" s="56" t="n">
        <f aca="false">$C$22*CF!BR10/1000</f>
        <v>1.52218310429544E-005</v>
      </c>
      <c r="BP22" s="56"/>
      <c r="BQ22" s="56" t="n">
        <f aca="false">$C$22*CF!BT10/1000</f>
        <v>2.16765503404132E-007</v>
      </c>
      <c r="BR22" s="56" t="n">
        <f aca="false">$C$22*CF!BU10/1000</f>
        <v>3.30382330355002E-009</v>
      </c>
      <c r="BS22" s="56" t="n">
        <f aca="false">$C$22*CF!BV10/1000</f>
        <v>5.42990857767222E-010</v>
      </c>
      <c r="BT22" s="56"/>
      <c r="BU22" s="56" t="n">
        <f aca="false">$C$22*CF!BX10/1000</f>
        <v>0.0867062013616526</v>
      </c>
      <c r="BV22" s="56" t="n">
        <f aca="false">$C$22*CF!BY10/1000</f>
        <v>0.00132152932142001</v>
      </c>
      <c r="BW22" s="56" t="n">
        <f aca="false">$C$22*CF!BZ10/1000</f>
        <v>0.000108598171553444</v>
      </c>
    </row>
    <row r="23" s="55" customFormat="true" ht="42.75" hidden="false" customHeight="true" outlineLevel="0" collapsed="false">
      <c r="A23" s="54" t="s">
        <v>160</v>
      </c>
      <c r="B23" s="54" t="s">
        <v>166</v>
      </c>
      <c r="C23" s="50" t="n">
        <f aca="false">C10</f>
        <v>0.210527</v>
      </c>
      <c r="D23" s="56" t="n">
        <f aca="false">$C$23*CF!G11/1000</f>
        <v>1.01895068E-007</v>
      </c>
      <c r="E23" s="56" t="n">
        <f aca="false">$C$23*CF!H11/1000</f>
        <v>9.2210826E-014</v>
      </c>
      <c r="F23" s="56" t="n">
        <f aca="false">$C$23*CF!I11/1000</f>
        <v>6.7579167E-009</v>
      </c>
      <c r="G23" s="56" t="n">
        <f aca="false">$C$23*CF!J11/1000</f>
        <v>2.4000078E-010</v>
      </c>
      <c r="H23" s="56" t="n">
        <f aca="false">$C$23*CF!K11/1000</f>
        <v>2.6315875E-010</v>
      </c>
      <c r="I23" s="56" t="n">
        <f aca="false">$C$23*CF!L11/1000</f>
        <v>2.4842186E-010</v>
      </c>
      <c r="J23" s="56" t="n">
        <f aca="false">$C$23*CF!M11/1000</f>
        <v>6.5894951E-010</v>
      </c>
      <c r="K23" s="56" t="n">
        <f aca="false">$C$23*CF!N11/1000</f>
        <v>4.5684359E-011</v>
      </c>
      <c r="L23" s="56" t="n">
        <f aca="false">$C$23*CF!O11/1000</f>
        <v>3.5579063E-012</v>
      </c>
      <c r="M23" s="56" t="n">
        <f aca="false">$C$23*CF!P11/1000</f>
        <v>1.50947859E-006</v>
      </c>
      <c r="N23" s="56" t="n">
        <f aca="false">$C$23*CF!Q11/1000</f>
        <v>1.48421535E-008</v>
      </c>
      <c r="O23" s="56" t="n">
        <f aca="false">$C$23*CF!R11/1000</f>
        <v>1.94316421E-008</v>
      </c>
      <c r="P23" s="56" t="n">
        <f aca="false">$C$23*CF!S11/1000</f>
        <v>1.13895107E-008</v>
      </c>
      <c r="Q23" s="56" t="n">
        <f aca="false">$C$23*CF!T11/1000</f>
        <v>2.947378E-007</v>
      </c>
      <c r="R23" s="56" t="n">
        <f aca="false">$C$23*CF!U11/1000</f>
        <v>2.526324E-009</v>
      </c>
      <c r="S23" s="56" t="n">
        <f aca="false">$C$23*CF!V11/1000</f>
        <v>1.22316187E-009</v>
      </c>
      <c r="T23" s="56" t="n">
        <f aca="false">$C$23*CF!W11/1000</f>
        <v>2.4000078E-008</v>
      </c>
      <c r="U23" s="56" t="n">
        <f aca="false">$C$23*CF!X11/1000</f>
        <v>2.03158555E-007</v>
      </c>
      <c r="V23" s="57" t="s">
        <v>162</v>
      </c>
      <c r="W23" s="56" t="n">
        <f aca="false">$C$23*CF!Z11/1000</f>
        <v>1.2731543087631E-011</v>
      </c>
      <c r="X23" s="56" t="n">
        <f aca="false">$C$23*CF!AA11/1000</f>
        <v>1.53896688910345E-012</v>
      </c>
      <c r="Y23" s="56" t="n">
        <f aca="false">$C$23*CF!AB11/1000</f>
        <v>1.40645531320513E-011</v>
      </c>
      <c r="Z23" s="56" t="n">
        <f aca="false">$C$23*CF!AC11/1000</f>
        <v>1.1660415254717E-011</v>
      </c>
      <c r="AA23" s="56" t="n">
        <f aca="false">$C$23*CF!AD11/1000</f>
        <v>1.02871147727273E-011</v>
      </c>
      <c r="AB23" s="56" t="n">
        <f aca="false">$C$23*CF!AE11/1000</f>
        <v>1.40145253323029E-011</v>
      </c>
      <c r="AC23" s="56" t="n">
        <f aca="false">$C$23*CF!AF11/1000</f>
        <v>1.60608824058968E-011</v>
      </c>
      <c r="AD23" s="56" t="n">
        <f aca="false">$C$23*CF!AG11/1000</f>
        <v>7.04445841068702E-011</v>
      </c>
      <c r="AE23" s="56" t="n">
        <f aca="false">$C$23*CF!AH11/1000</f>
        <v>7.75115301071429E-013</v>
      </c>
      <c r="AF23" s="56" t="n">
        <f aca="false">$C$23*CF!AI11/1000</f>
        <v>9.94771136360656E-011</v>
      </c>
      <c r="AG23" s="56" t="n">
        <f aca="false">$C$23*CF!AJ11/1000</f>
        <v>5.87834394892473E-010</v>
      </c>
      <c r="AH23" s="56" t="n">
        <f aca="false">$C$23*CF!AK11/1000</f>
        <v>4.47148582414773E-010</v>
      </c>
      <c r="AI23" s="56" t="n">
        <f aca="false">$C$23*CF!AL11/1000</f>
        <v>1.10651259015823E-009</v>
      </c>
      <c r="AJ23" s="56" t="n">
        <f aca="false">$C$23*CF!AM11/1000</f>
        <v>9.42123759530792E-012</v>
      </c>
      <c r="AK23" s="56" t="n">
        <f aca="false">$C$23*CF!AN11/1000</f>
        <v>4.09101499354839E-013</v>
      </c>
      <c r="AL23" s="56" t="n">
        <f aca="false">$C$23*CF!AO11/1000</f>
        <v>1.0233059573125E-014</v>
      </c>
      <c r="AM23" s="56" t="n">
        <f aca="false">$C$23*CF!AP11/1000</f>
        <v>2.44445238888889E-011</v>
      </c>
      <c r="AN23" s="56" t="n">
        <f aca="false">$C$23*CF!AQ11/1000</f>
        <v>7.60335978118812E-010</v>
      </c>
      <c r="AO23" s="56"/>
      <c r="AP23" s="56" t="n">
        <f aca="false">$C$23*CF!AS11/1000</f>
        <v>9.44184868169796E-014</v>
      </c>
      <c r="AQ23" s="56" t="n">
        <f aca="false">$C$23*CF!AT11/1000</f>
        <v>2.8410994230168E-016</v>
      </c>
      <c r="AR23" s="56" t="n">
        <f aca="false">$C$23*CF!AU11/1000</f>
        <v>7.79700245175456E-021</v>
      </c>
      <c r="AS23" s="56" t="n">
        <f aca="false">$C$23*CF!AV11/1000</f>
        <v>4.8967129879497E-017</v>
      </c>
      <c r="AT23" s="56" t="n">
        <f aca="false">$C$23*CF!AW11/1000</f>
        <v>5.74711752859758E-017</v>
      </c>
      <c r="AU23" s="56" t="n">
        <f aca="false">$C$23*CF!AX11/1000</f>
        <v>2.18491286094372E-016</v>
      </c>
      <c r="AV23" s="56" t="n">
        <f aca="false">$C$23*CF!AY11/1000</f>
        <v>1.65072299641125E-013</v>
      </c>
      <c r="AW23" s="56" t="n">
        <f aca="false">$C$23*CF!AZ11/1000</f>
        <v>3.2060629670392E-017</v>
      </c>
      <c r="AX23" s="56" t="n">
        <f aca="false">$C$23*CF!BA11/1000</f>
        <v>1.39561288941136E-016</v>
      </c>
      <c r="AY23" s="56" t="n">
        <f aca="false">$C$23*CF!BB11/1000</f>
        <v>3.0618982248211E-017</v>
      </c>
      <c r="AZ23" s="56" t="n">
        <f aca="false">$C$23*CF!BC11/1000</f>
        <v>6.0738548347009E-021</v>
      </c>
      <c r="BA23" s="56" t="n">
        <f aca="false">$C$23*CF!BD11/1000</f>
        <v>1.72723899035058E-017</v>
      </c>
      <c r="BB23" s="56" t="n">
        <f aca="false">$C$23*CF!BE11/1000</f>
        <v>1.02671531891921E-017</v>
      </c>
      <c r="BC23" s="56" t="n">
        <f aca="false">$C$23*CF!BF11/1000</f>
        <v>2.04252985504256E-018</v>
      </c>
      <c r="BD23" s="56" t="n">
        <f aca="false">$C$23*CF!BG11/1000</f>
        <v>3.78448953112995E-014</v>
      </c>
      <c r="BE23" s="56" t="n">
        <f aca="false">$C$23*CF!BH11/1000</f>
        <v>6.74180296342E-014</v>
      </c>
      <c r="BF23" s="56" t="n">
        <f aca="false">$C$23*CF!BI11/1000</f>
        <v>2.238377379966E-017</v>
      </c>
      <c r="BG23" s="56" t="n">
        <f aca="false">$C$23*CF!BJ11/1000</f>
        <v>2.83948343671223E-010</v>
      </c>
      <c r="BH23" s="56" t="n">
        <f aca="false">$C$23*CF!BK11/1000</f>
        <v>5.6666848166658E-009</v>
      </c>
      <c r="BI23" s="56" t="n">
        <f aca="false">$C$23*CF!BL11/1000</f>
        <v>3.88213854322505E-013</v>
      </c>
      <c r="BJ23" s="56" t="n">
        <f aca="false">$C$23*CF!BM11/1000</f>
        <v>2.4741095776721E-015</v>
      </c>
      <c r="BK23" s="56" t="n">
        <f aca="false">$C$23*CF!BN11/1000</f>
        <v>1.55084394443697E-019</v>
      </c>
      <c r="BL23" s="56"/>
      <c r="BM23" s="56" t="n">
        <f aca="false">$C$23*CF!BP11/1000</f>
        <v>7.53292495317369E-013</v>
      </c>
      <c r="BN23" s="56" t="n">
        <f aca="false">$C$23*CF!BQ11/1000</f>
        <v>3.01259522283265E-015</v>
      </c>
      <c r="BO23" s="56" t="n">
        <f aca="false">$C$23*CF!BR11/1000</f>
        <v>5.95063316033702E-009</v>
      </c>
      <c r="BP23" s="56"/>
      <c r="BQ23" s="56" t="n">
        <f aca="false">$C$23*CF!BT11/1000</f>
        <v>3.13846386106965E-011</v>
      </c>
      <c r="BR23" s="56" t="n">
        <f aca="false">$C$23*CF!BU11/1000</f>
        <v>2.03662181384063E-012</v>
      </c>
      <c r="BS23" s="56" t="n">
        <f aca="false">$C$23*CF!BV11/1000</f>
        <v>2.12270087276066E-013</v>
      </c>
      <c r="BT23" s="56"/>
      <c r="BU23" s="56" t="n">
        <f aca="false">$C$23*CF!BX11/1000</f>
        <v>1.25538554442786E-005</v>
      </c>
      <c r="BV23" s="56" t="n">
        <f aca="false">$C$23*CF!BY11/1000</f>
        <v>8.14648725536253E-007</v>
      </c>
      <c r="BW23" s="56" t="n">
        <f aca="false">$C$23*CF!BZ11/1000</f>
        <v>4.24540174552133E-008</v>
      </c>
    </row>
    <row r="24" s="55" customFormat="true" ht="14.25" hidden="false" customHeight="false" outlineLevel="0" collapsed="false">
      <c r="A24" s="54" t="s">
        <v>169</v>
      </c>
      <c r="B24" s="54" t="s">
        <v>132</v>
      </c>
      <c r="C24" s="50" t="n">
        <v>6.810526</v>
      </c>
      <c r="D24" s="56" t="n">
        <f aca="false">$C$24*CF!G7</f>
        <v>0.439278927</v>
      </c>
      <c r="E24" s="56" t="n">
        <f aca="false">$C$24*CF!H7</f>
        <v>1.757115708E-007</v>
      </c>
      <c r="F24" s="56" t="n">
        <f aca="false">$C$24*CF!I7</f>
        <v>0.03221378798</v>
      </c>
      <c r="G24" s="56" t="n">
        <f aca="false">$C$24*CF!J7</f>
        <v>0.001232705206</v>
      </c>
      <c r="H24" s="56" t="n">
        <f aca="false">$C$24*CF!K7</f>
        <v>0.00105563153</v>
      </c>
      <c r="I24" s="56" t="n">
        <f aca="false">$C$24*CF!L7</f>
        <v>0.001300810466</v>
      </c>
      <c r="J24" s="56" t="n">
        <f aca="false">$C$24*CF!M7</f>
        <v>0.002363252522</v>
      </c>
      <c r="K24" s="56" t="n">
        <f aca="false">$C$24*CF!N7</f>
        <v>0.000299663144</v>
      </c>
      <c r="L24" s="56" t="n">
        <f aca="false">$C$24*CF!O7</f>
        <v>2.28152621E-005</v>
      </c>
      <c r="M24" s="56" t="n">
        <f aca="false">$C$24*CF!P7</f>
        <v>15.45989402</v>
      </c>
      <c r="N24" s="56" t="n">
        <f aca="false">$C$24*CF!Q7</f>
        <v>0.2063589378</v>
      </c>
      <c r="O24" s="56" t="n">
        <f aca="false">$C$24*CF!R7</f>
        <v>0.262205251</v>
      </c>
      <c r="P24" s="56" t="n">
        <f aca="false">$C$24*CF!S7</f>
        <v>0.06279304972</v>
      </c>
      <c r="Q24" s="56" t="n">
        <f aca="false">$C$24*CF!T7</f>
        <v>1.852463072</v>
      </c>
      <c r="R24" s="56" t="n">
        <f aca="false">$C$24*CF!U7</f>
        <v>0.0132805257</v>
      </c>
      <c r="S24" s="56" t="n">
        <f aca="false">$C$24*CF!V7</f>
        <v>0.00735536808</v>
      </c>
      <c r="T24" s="56" t="n">
        <f aca="false">$C$24*CF!W7</f>
        <v>0.1110115738</v>
      </c>
      <c r="U24" s="56" t="n">
        <f aca="false">$C$24*CF!X7</f>
        <v>0.01539178876</v>
      </c>
      <c r="V24" s="57" t="s">
        <v>169</v>
      </c>
      <c r="W24" s="56" t="n">
        <f aca="false">$C$24*CF!Z7</f>
        <v>5.48868428704403E-005</v>
      </c>
      <c r="X24" s="56" t="n">
        <f aca="false">$C$24*CF!AA7</f>
        <v>2.93256552645517E-006</v>
      </c>
      <c r="Y24" s="56" t="n">
        <f aca="false">$C$24*CF!AB7</f>
        <v>6.70432254113675E-005</v>
      </c>
      <c r="Z24" s="56" t="n">
        <f aca="false">$C$24*CF!AC7</f>
        <v>5.9890866140566E-005</v>
      </c>
      <c r="AA24" s="56" t="n">
        <f aca="false">$C$24*CF!AD7</f>
        <v>4.12655961727273E-005</v>
      </c>
      <c r="AB24" s="56" t="n">
        <f aca="false">$C$24*CF!AE7</f>
        <v>7.33842071236476E-005</v>
      </c>
      <c r="AC24" s="56" t="n">
        <f aca="false">$C$24*CF!AF7</f>
        <v>5.76006511504668E-005</v>
      </c>
      <c r="AD24" s="56" t="n">
        <f aca="false">$C$24*CF!AG7</f>
        <v>0.000462075993038168</v>
      </c>
      <c r="AE24" s="56" t="n">
        <f aca="false">$C$24*CF!AH7</f>
        <v>4.97046781464286E-006</v>
      </c>
      <c r="AF24" s="56" t="n">
        <f aca="false">$C$24*CF!AI7</f>
        <v>0.00101883236000656</v>
      </c>
      <c r="AG24" s="56" t="n">
        <f aca="false">$C$24*CF!AJ7</f>
        <v>0.00817299735731183</v>
      </c>
      <c r="AH24" s="56" t="n">
        <f aca="false">$C$24*CF!AK7</f>
        <v>0.006033700378125</v>
      </c>
      <c r="AI24" s="56" t="n">
        <f aca="false">$C$24*CF!AL7</f>
        <v>0.0061004640076076</v>
      </c>
      <c r="AJ24" s="56" t="n">
        <f aca="false">$C$24*CF!AM7</f>
        <v>5.92136289876833E-005</v>
      </c>
      <c r="AK24" s="56" t="n">
        <f aca="false">$C$24*CF!AN7</f>
        <v>2.15058835529032E-006</v>
      </c>
      <c r="AL24" s="56" t="n">
        <f aca="false">$C$24*CF!AO7</f>
        <v>6.15355347407143E-008</v>
      </c>
      <c r="AM24" s="56" t="n">
        <f aca="false">$C$24*CF!AP7</f>
        <v>0.000113067343685185</v>
      </c>
      <c r="AN24" s="56" t="n">
        <f aca="false">$C$24*CF!AQ7</f>
        <v>5.76049123889109E-005</v>
      </c>
      <c r="AO24" s="56"/>
      <c r="AP24" s="56" t="n">
        <f aca="false">$C$24*CF!AS7</f>
        <v>4.07046703947697E-007</v>
      </c>
      <c r="AQ24" s="56" t="n">
        <f aca="false">$C$24*CF!AT7</f>
        <v>1.22482386099702E-009</v>
      </c>
      <c r="AR24" s="56" t="n">
        <f aca="false">$C$24*CF!AU7</f>
        <v>3.36135883517258E-014</v>
      </c>
      <c r="AS24" s="56" t="n">
        <f aca="false">$C$24*CF!AV7</f>
        <v>9.33089061439926E-011</v>
      </c>
      <c r="AT24" s="56" t="n">
        <f aca="false">$C$24*CF!AW7</f>
        <v>2.73954879559827E-010</v>
      </c>
      <c r="AU24" s="56" t="n">
        <f aca="false">$C$24*CF!AX7</f>
        <v>1.12222696040474E-009</v>
      </c>
      <c r="AV24" s="56" t="n">
        <f aca="false">$C$24*CF!AY7</f>
        <v>6.62168840028231E-007</v>
      </c>
      <c r="AW24" s="56" t="n">
        <f aca="false">$C$24*CF!AZ7</f>
        <v>1.67878956472655E-010</v>
      </c>
      <c r="AX24" s="56" t="n">
        <f aca="false">$C$24*CF!BA7</f>
        <v>5.00521759343459E-010</v>
      </c>
      <c r="AY24" s="56" t="n">
        <f aca="false">$C$24*CF!BB7</f>
        <v>2.00842929339976E-010</v>
      </c>
      <c r="AZ24" s="56" t="n">
        <f aca="false">$C$24*CF!BC7</f>
        <v>3.89489149871803E-014</v>
      </c>
      <c r="BA24" s="56" t="n">
        <f aca="false">$C$24*CF!BD7</f>
        <v>1.76901692511132E-010</v>
      </c>
      <c r="BB24" s="56" t="n">
        <f aca="false">$C$24*CF!BE7</f>
        <v>1.42750095284458E-010</v>
      </c>
      <c r="BC24" s="56" t="n">
        <f aca="false">$C$24*CF!BF7</f>
        <v>2.75613378715136E-011</v>
      </c>
      <c r="BD24" s="56" t="n">
        <f aca="false">$C$24*CF!BG7</f>
        <v>2.0864780371387E-007</v>
      </c>
      <c r="BE24" s="56" t="n">
        <f aca="false">$C$24*CF!BH7</f>
        <v>4.23730550626208E-007</v>
      </c>
      <c r="BF24" s="56" t="n">
        <f aca="false">$C$24*CF!BI7</f>
        <v>1.17668313015026E-010</v>
      </c>
      <c r="BG24" s="56" t="n">
        <f aca="false">$C$24*CF!BJ7</f>
        <v>0.00170749647665863</v>
      </c>
      <c r="BH24" s="56" t="n">
        <f aca="false">$C$24*CF!BK7</f>
        <v>0.0262110648026492</v>
      </c>
      <c r="BI24" s="56" t="n">
        <f aca="false">$C$24*CF!BL7</f>
        <v>2.94120306153852E-008</v>
      </c>
      <c r="BJ24" s="56" t="n">
        <f aca="false">$C$24*CF!BM7</f>
        <v>1.87444589712807E-010</v>
      </c>
      <c r="BK24" s="56" t="n">
        <f aca="false">$C$24*CF!BN7</f>
        <v>1.17495728361028E-014</v>
      </c>
      <c r="BL24" s="56"/>
      <c r="BM24" s="56" t="n">
        <f aca="false">$C$24*CF!BP7</f>
        <v>1.7324954196775E-006</v>
      </c>
      <c r="BN24" s="56" t="n">
        <f aca="false">$C$24*CF!BQ7</f>
        <v>2.74647784662422E-009</v>
      </c>
      <c r="BO24" s="56" t="n">
        <f aca="false">$C$24*CF!BR7</f>
        <v>0.0279185612793078</v>
      </c>
      <c r="BP24" s="56"/>
      <c r="BQ24" s="56" t="n">
        <f aca="false">$C$24*CF!BT7</f>
        <v>7.21814474181868E-005</v>
      </c>
      <c r="BR24" s="56" t="n">
        <f aca="false">$C$24*CF!BU7</f>
        <v>1.8567169765361E-006</v>
      </c>
      <c r="BS24" s="56" t="n">
        <f aca="false">$C$24*CF!BV7</f>
        <v>9.95906700967806E-007</v>
      </c>
      <c r="BT24" s="56"/>
      <c r="BU24" s="56" t="n">
        <f aca="false">$C$24*CF!BX7</f>
        <v>28.8725789672747</v>
      </c>
      <c r="BV24" s="56" t="n">
        <f aca="false">$C$24*CF!BY7</f>
        <v>0.742686790614441</v>
      </c>
      <c r="BW24" s="56" t="n">
        <f aca="false">$C$24*CF!BZ7</f>
        <v>0.199181340193561</v>
      </c>
    </row>
    <row r="25" s="55" customFormat="true" ht="42.75" hidden="false" customHeight="true" outlineLevel="0" collapsed="false">
      <c r="A25" s="54" t="s">
        <v>165</v>
      </c>
      <c r="B25" s="54" t="s">
        <v>166</v>
      </c>
      <c r="C25" s="50" t="n">
        <f aca="false">C12</f>
        <v>0.1894743</v>
      </c>
      <c r="D25" s="55" t="n">
        <f aca="false">$C$25*CF!G12/1000</f>
        <v>5.41896498E-005</v>
      </c>
      <c r="E25" s="55" t="n">
        <f aca="false">$C$25*CF!H12/1000</f>
        <v>1.559373489E-010</v>
      </c>
      <c r="F25" s="55" t="n">
        <f aca="false">$C$25*CF!I12/1000</f>
        <v>2.00842758E-006</v>
      </c>
      <c r="G25" s="55" t="n">
        <f aca="false">$C$25*CF!J12/1000</f>
        <v>1.292214726E-007</v>
      </c>
      <c r="H25" s="55" t="n">
        <f aca="false">$C$25*CF!K12/1000</f>
        <v>8.07160518E-008</v>
      </c>
      <c r="I25" s="55" t="n">
        <f aca="false">$C$25*CF!L12/1000</f>
        <v>1.332004329E-007</v>
      </c>
      <c r="J25" s="55" t="n">
        <f aca="false">$C$25*CF!M12/1000</f>
        <v>1.576426176E-007</v>
      </c>
      <c r="K25" s="55" t="n">
        <f aca="false">$C$25*CF!N12/1000</f>
        <v>1.203161805E-006</v>
      </c>
      <c r="L25" s="55" t="n">
        <f aca="false">$C$25*CF!O12/1000</f>
        <v>4.28211918E-007</v>
      </c>
      <c r="M25" s="55" t="n">
        <f aca="false">$C$25*CF!P12/1000</f>
        <v>0.000229263903</v>
      </c>
      <c r="N25" s="55" t="n">
        <f aca="false">$C$25*CF!Q12/1000</f>
        <v>7.40844513E-006</v>
      </c>
      <c r="O25" s="55" t="n">
        <f aca="false">$C$25*CF!R12/1000</f>
        <v>1.006108533E-005</v>
      </c>
      <c r="P25" s="55" t="n">
        <f aca="false">$C$25*CF!S12/1000</f>
        <v>9.32213556E-006</v>
      </c>
      <c r="Q25" s="55" t="n">
        <f aca="false">$C$25*CF!T12/1000</f>
        <v>0.00041684346</v>
      </c>
      <c r="R25" s="55" t="n">
        <f aca="false">$C$25*CF!U12/1000</f>
        <v>1.089477225E-006</v>
      </c>
      <c r="S25" s="55" t="n">
        <f aca="false">$C$25*CF!V12/1000</f>
        <v>4.14948717E-007</v>
      </c>
      <c r="T25" s="55" t="n">
        <f aca="false">$C$25*CF!W12/1000</f>
        <v>1.097056197E-005</v>
      </c>
      <c r="U25" s="55" t="n">
        <f aca="false">$C$25*CF!X12/1000</f>
        <v>-0.00036000117</v>
      </c>
      <c r="V25" s="57" t="s">
        <v>146</v>
      </c>
      <c r="W25" s="55" t="n">
        <f aca="false">$C$25*CF!Z12/1000</f>
        <v>6.77086609660377E-009</v>
      </c>
      <c r="X25" s="55" t="n">
        <f aca="false">$C$25*CF!AA12/1000</f>
        <v>2.60254058164138E-009</v>
      </c>
      <c r="Y25" s="55" t="n">
        <f aca="false">$C$25*CF!AB12/1000</f>
        <v>4.17993261307692E-009</v>
      </c>
      <c r="Z25" s="55" t="n">
        <f aca="false">$C$25*CF!AC12/1000</f>
        <v>6.27821305556604E-009</v>
      </c>
      <c r="AA25" s="55" t="n">
        <f aca="false">$C$25*CF!AD12/1000</f>
        <v>3.15526384309091E-009</v>
      </c>
      <c r="AB25" s="55" t="n">
        <f aca="false">$C$25*CF!AE12/1000</f>
        <v>7.5143984557187E-009</v>
      </c>
      <c r="AC25" s="55" t="n">
        <f aca="false">$C$25*CF!AF12/1000</f>
        <v>3.84229672381327E-009</v>
      </c>
      <c r="AD25" s="55" t="n">
        <f aca="false">$C$25*CF!AG12/1000</f>
        <v>1.85525713442748E-006</v>
      </c>
      <c r="AE25" s="55" t="n">
        <f aca="false">$C$25*CF!AH12/1000</f>
        <v>9.32890249928571E-008</v>
      </c>
      <c r="AF25" s="55" t="n">
        <f aca="false">$C$25*CF!AI12/1000</f>
        <v>1.51088670501639E-008</v>
      </c>
      <c r="AG25" s="55" t="n">
        <f aca="false">$C$25*CF!AJ12/1000</f>
        <v>2.93416912854839E-007</v>
      </c>
      <c r="AH25" s="55" t="n">
        <f aca="false">$C$25*CF!AK12/1000</f>
        <v>2.31519293105114E-007</v>
      </c>
      <c r="AI25" s="55" t="n">
        <f aca="false">$C$25*CF!AL12/1000</f>
        <v>9.05663169911392E-007</v>
      </c>
      <c r="AJ25" s="55" t="n">
        <f aca="false">$C$25*CF!AM12/1000</f>
        <v>1.33243217419355E-008</v>
      </c>
      <c r="AK25" s="55" t="n">
        <f aca="false">$C$25*CF!AN12/1000</f>
        <v>1.76425021596774E-010</v>
      </c>
      <c r="AL25" s="55" t="n">
        <f aca="false">$C$25*CF!AO12/1000</f>
        <v>3.47149060561607E-012</v>
      </c>
      <c r="AM25" s="55" t="n">
        <f aca="false">$C$25*CF!AP12/1000</f>
        <v>1.1173720525E-008</v>
      </c>
      <c r="AN25" s="55" t="n">
        <f aca="false">$C$25*CF!AQ12/1000</f>
        <v>-1.34733111148515E-006</v>
      </c>
      <c r="AP25" s="55" t="n">
        <f aca="false">$C$25*CF!AS12/1000</f>
        <v>5.02134679890301E-011</v>
      </c>
      <c r="AQ25" s="55" t="n">
        <f aca="false">$C$25*CF!AT12/1000</f>
        <v>1.51094832951348E-013</v>
      </c>
      <c r="AR25" s="55" t="n">
        <f aca="false">$C$25*CF!AU12/1000</f>
        <v>4.14658766752402E-018</v>
      </c>
      <c r="AS25" s="55" t="n">
        <f aca="false">$C$25*CF!AV12/1000</f>
        <v>8.2808112104437E-014</v>
      </c>
      <c r="AT25" s="55" t="n">
        <f aca="false">$C$25*CF!AW12/1000</f>
        <v>1.70802184494769E-014</v>
      </c>
      <c r="AU25" s="55" t="n">
        <f aca="false">$C$25*CF!AX12/1000</f>
        <v>1.17640308249759E-013</v>
      </c>
      <c r="AV25" s="55" t="n">
        <f aca="false">$C$25*CF!AY12/1000</f>
        <v>5.06309757459259E-011</v>
      </c>
      <c r="AW25" s="55" t="n">
        <f aca="false">$C$25*CF!AZ12/1000</f>
        <v>1.71904749088619E-014</v>
      </c>
      <c r="AX25" s="55" t="n">
        <f aca="false">$C$25*CF!BA12/1000</f>
        <v>3.33876974949274E-014</v>
      </c>
      <c r="AY25" s="55" t="n">
        <f aca="false">$C$25*CF!BB12/1000</f>
        <v>8.06393933403345E-013</v>
      </c>
      <c r="AZ25" s="55" t="n">
        <f aca="false">$C$25*CF!BC12/1000</f>
        <v>7.31018978330274E-016</v>
      </c>
      <c r="BA25" s="55" t="n">
        <f aca="false">$C$25*CF!BD12/1000</f>
        <v>2.62337972174586E-015</v>
      </c>
      <c r="BB25" s="55" t="n">
        <f aca="false">$C$25*CF!BE12/1000</f>
        <v>5.12483859188182E-015</v>
      </c>
      <c r="BC25" s="55" t="n">
        <f aca="false">$C$25*CF!BF12/1000</f>
        <v>1.05755689894349E-015</v>
      </c>
      <c r="BD25" s="55" t="n">
        <f aca="false">$C$25*CF!BG12/1000</f>
        <v>3.09754522067346E-011</v>
      </c>
      <c r="BE25" s="55" t="n">
        <f aca="false">$C$25*CF!BH12/1000</f>
        <v>9.534835619694E-011</v>
      </c>
      <c r="BF25" s="55" t="n">
        <f aca="false">$C$25*CF!BI12/1000</f>
        <v>9.65300245110337E-015</v>
      </c>
      <c r="BG25" s="55" t="n">
        <f aca="false">$C$25*CF!BJ12/1000</f>
        <v>9.63273985156593E-008</v>
      </c>
      <c r="BH25" s="55" t="n">
        <f aca="false">$C$25*CF!BK12/1000</f>
        <v>2.59027145435487E-006</v>
      </c>
      <c r="BI25" s="55" t="n">
        <f aca="false">$C$25*CF!BL12/1000</f>
        <v>-6.8792299574247E-010</v>
      </c>
      <c r="BJ25" s="55" t="n">
        <f aca="false">$C$25*CF!BM12/1000</f>
        <v>-4.3841734485174E-012</v>
      </c>
      <c r="BK25" s="55" t="n">
        <f aca="false">$C$25*CF!BN12/1000</f>
        <v>-2.74812761138571E-016</v>
      </c>
      <c r="BM25" s="55" t="n">
        <f aca="false">$C$25*CF!BP12/1000</f>
        <v>-4.60537214965036E-010</v>
      </c>
      <c r="BN25" s="55" t="n">
        <f aca="false">$C$25*CF!BQ12/1000</f>
        <v>-3.35718737929038E-012</v>
      </c>
      <c r="BO25" s="55" t="n">
        <f aca="false">$C$25*CF!BR12/1000</f>
        <v>2.68659885287053E-006</v>
      </c>
      <c r="BQ25" s="55" t="n">
        <f aca="false">$C$25*CF!BT12/1000</f>
        <v>-1.91874924392613E-008</v>
      </c>
      <c r="BR25" s="55" t="n">
        <f aca="false">$C$25*CF!BU12/1000</f>
        <v>-2.26957840137061E-009</v>
      </c>
      <c r="BS25" s="55" t="n">
        <f aca="false">$C$25*CF!BV12/1000</f>
        <v>9.5835948479524E-011</v>
      </c>
      <c r="BU25" s="55" t="n">
        <f aca="false">$C$25*CF!BX12/1000</f>
        <v>-0.00767499697570453</v>
      </c>
      <c r="BV25" s="55" t="n">
        <f aca="false">$C$25*CF!BY12/1000</f>
        <v>-0.000907831360548245</v>
      </c>
      <c r="BW25" s="55" t="n">
        <f aca="false">$C$25*CF!BZ12/1000</f>
        <v>1.91671896959048E-005</v>
      </c>
    </row>
    <row r="26" s="55" customFormat="true" ht="14.25" hidden="false" customHeight="false" outlineLevel="0" collapsed="false">
      <c r="A26" s="54"/>
      <c r="B26" s="54"/>
      <c r="C26" s="50" t="s">
        <v>167</v>
      </c>
      <c r="D26" s="67" t="n">
        <f aca="false">SUM(D20:D25)</f>
        <v>0.44954318225984</v>
      </c>
      <c r="E26" s="67" t="n">
        <f aca="false">SUM(E20:E25)</f>
        <v>1.91221876045924E-007</v>
      </c>
      <c r="F26" s="67" t="n">
        <f aca="false">SUM(F20:F25)</f>
        <v>0.0325872910986354</v>
      </c>
      <c r="G26" s="67" t="n">
        <f aca="false">SUM(G20:G25)</f>
        <v>0.00126133969661453</v>
      </c>
      <c r="H26" s="67" t="n">
        <f aca="false">SUM(H20:H25)</f>
        <v>0.00108040939429048</v>
      </c>
      <c r="I26" s="67" t="n">
        <f aca="false">SUM(I20:I25)</f>
        <v>0.00133030118931441</v>
      </c>
      <c r="J26" s="67" t="n">
        <f aca="false">SUM(J20:J25)</f>
        <v>0.00242920937813653</v>
      </c>
      <c r="K26" s="67" t="n">
        <f aca="false">SUM(K20:K25)</f>
        <v>0.000307736176547389</v>
      </c>
      <c r="L26" s="67" t="n">
        <f aca="false">SUM(L20:L25)</f>
        <v>2.51654831429434E-005</v>
      </c>
      <c r="M26" s="67" t="n">
        <f aca="false">SUM(M20:M25)</f>
        <v>15.5754488078162</v>
      </c>
      <c r="N26" s="67" t="n">
        <f aca="false">SUM(N20:N25)</f>
        <v>0.208125438189294</v>
      </c>
      <c r="O26" s="67" t="n">
        <f aca="false">SUM(O20:O25)</f>
        <v>0.264467130995719</v>
      </c>
      <c r="P26" s="67" t="n">
        <f aca="false">SUM(P20:P25)</f>
        <v>0.0634074030394362</v>
      </c>
      <c r="Q26" s="67" t="n">
        <f aca="false">SUM(Q20:Q25)</f>
        <v>1.8802951890523</v>
      </c>
      <c r="R26" s="67" t="n">
        <f aca="false">SUM(R20:R25)</f>
        <v>0.0144193576463724</v>
      </c>
      <c r="S26" s="67" t="n">
        <f aca="false">SUM(S20:S25)</f>
        <v>0.00841367425782106</v>
      </c>
      <c r="T26" s="67" t="n">
        <f aca="false">SUM(T20:T25)</f>
        <v>0.113415989838252</v>
      </c>
      <c r="U26" s="67" t="n">
        <f aca="false">SUM(U20:U25)</f>
        <v>0.0153061328348344</v>
      </c>
      <c r="V26" s="67" t="n">
        <f aca="false">SUM(V20:V25)</f>
        <v>0</v>
      </c>
      <c r="W26" s="67" t="n">
        <f aca="false">SUM(W20:W25)</f>
        <v>5.61693368190492E-005</v>
      </c>
      <c r="X26" s="67" t="n">
        <f aca="false">SUM(X20:X25)</f>
        <v>3.19142717262853E-006</v>
      </c>
      <c r="Y26" s="67" t="n">
        <f aca="false">SUM(Y20:Y25)</f>
        <v>6.78205588249379E-005</v>
      </c>
      <c r="Z26" s="67" t="n">
        <f aca="false">SUM(Z20:Z25)</f>
        <v>6.12820701657058E-005</v>
      </c>
      <c r="AA26" s="67" t="n">
        <f aca="false">SUM(AA20:AA25)</f>
        <v>4.22341854131735E-005</v>
      </c>
      <c r="AB26" s="67" t="n">
        <f aca="false">SUM(AB20:AB25)</f>
        <v>7.50479032611684E-005</v>
      </c>
      <c r="AC26" s="67" t="n">
        <f aca="false">SUM(AC20:AC25)</f>
        <v>5.92082482336962E-005</v>
      </c>
      <c r="AD26" s="67" t="n">
        <f aca="false">SUM(AD20:AD25)</f>
        <v>0.000474524485973836</v>
      </c>
      <c r="AE26" s="67" t="n">
        <f aca="false">SUM(AE20:AE25)</f>
        <v>5.48248025614124E-006</v>
      </c>
      <c r="AF26" s="67" t="n">
        <f aca="false">SUM(AF20:AF25)</f>
        <v>0.00102644760995772</v>
      </c>
      <c r="AG26" s="67" t="n">
        <f aca="false">SUM(AG20:AG25)</f>
        <v>0.00824296090319607</v>
      </c>
      <c r="AH26" s="67" t="n">
        <f aca="false">SUM(AH20:AH25)</f>
        <v>0.0060857493212083</v>
      </c>
      <c r="AI26" s="67" t="n">
        <f aca="false">SUM(AI20:AI25)</f>
        <v>0.00616014959908447</v>
      </c>
      <c r="AJ26" s="67" t="n">
        <f aca="false">SUM(AJ20:AJ25)</f>
        <v>6.01032773040177E-005</v>
      </c>
      <c r="AK26" s="67" t="n">
        <f aca="false">SUM(AK20:AK25)</f>
        <v>2.33500565757385E-006</v>
      </c>
      <c r="AL26" s="67" t="n">
        <f aca="false">SUM(AL20:AL25)</f>
        <v>7.03893998176637E-008</v>
      </c>
      <c r="AM26" s="67" t="n">
        <f aca="false">SUM(AM20:AM25)</f>
        <v>0.000115516285946367</v>
      </c>
      <c r="AN26" s="67" t="n">
        <f aca="false">SUM(AN20:AN25)</f>
        <v>5.72843387283901E-005</v>
      </c>
      <c r="AO26" s="67" t="n">
        <f aca="false">SUM(AO20:AO25)</f>
        <v>0</v>
      </c>
      <c r="AP26" s="67" t="n">
        <f aca="false">SUM(AP20:AP25)</f>
        <v>4.1655781639857E-007</v>
      </c>
      <c r="AQ26" s="67" t="n">
        <f aca="false">SUM(AQ20:AQ25)</f>
        <v>1.25344327336782E-009</v>
      </c>
      <c r="AR26" s="67" t="n">
        <f aca="false">SUM(AR20:AR25)</f>
        <v>3.43990083430684E-014</v>
      </c>
      <c r="AS26" s="67" t="n">
        <f aca="false">SUM(AS20:AS25)</f>
        <v>1.01545413335109E-010</v>
      </c>
      <c r="AT26" s="67" t="n">
        <f aca="false">SUM(AT20:AT25)</f>
        <v>2.77131252420557E-010</v>
      </c>
      <c r="AU26" s="67" t="n">
        <f aca="false">SUM(AU20:AU25)</f>
        <v>1.14829515352072E-009</v>
      </c>
      <c r="AV26" s="67" t="n">
        <f aca="false">SUM(AV20:AV25)</f>
        <v>6.77711317861957E-007</v>
      </c>
      <c r="AW26" s="67" t="n">
        <f aca="false">SUM(AW20:AW25)</f>
        <v>1.71684946649588E-010</v>
      </c>
      <c r="AX26" s="67" t="n">
        <f aca="false">SUM(AX20:AX25)</f>
        <v>5.14490999349297E-010</v>
      </c>
      <c r="AY26" s="67" t="n">
        <f aca="false">SUM(AY20:AY25)</f>
        <v>2.0625370987118E-010</v>
      </c>
      <c r="AZ26" s="67" t="n">
        <f aca="false">SUM(AZ20:AZ25)</f>
        <v>4.29610783890938E-014</v>
      </c>
      <c r="BA26" s="67" t="n">
        <f aca="false">SUM(BA20:BA25)</f>
        <v>1.78223942037294E-010</v>
      </c>
      <c r="BB26" s="67" t="n">
        <f aca="false">SUM(BB20:BB25)</f>
        <v>1.43972083057705E-010</v>
      </c>
      <c r="BC26" s="67" t="n">
        <f aca="false">SUM(BC20:BC25)</f>
        <v>2.77990922206316E-011</v>
      </c>
      <c r="BD26" s="67" t="n">
        <f aca="false">SUM(BD20:BD25)</f>
        <v>2.10689167708393E-007</v>
      </c>
      <c r="BE26" s="67" t="n">
        <f aca="false">SUM(BE20:BE25)</f>
        <v>4.30096841248633E-007</v>
      </c>
      <c r="BF26" s="67" t="n">
        <f aca="false">SUM(BF20:BF25)</f>
        <v>1.27758608908753E-010</v>
      </c>
      <c r="BG26" s="67" t="n">
        <f aca="false">SUM(BG20:BG25)</f>
        <v>0.00195317474186593</v>
      </c>
      <c r="BH26" s="67" t="n">
        <f aca="false">SUM(BH20:BH25)</f>
        <v>0.0267787741182984</v>
      </c>
      <c r="BI26" s="67" t="n">
        <f aca="false">SUM(BI20:BI25)</f>
        <v>2.92483514788895E-008</v>
      </c>
      <c r="BJ26" s="67" t="n">
        <f aca="false">SUM(BJ20:BJ25)</f>
        <v>1.86401453011837E-010</v>
      </c>
      <c r="BK26" s="67" t="n">
        <f aca="false">SUM(BK20:BK25)</f>
        <v>1.1684185989436E-014</v>
      </c>
      <c r="BL26" s="67" t="n">
        <f aca="false">SUM(BL20:BL25)</f>
        <v>0</v>
      </c>
      <c r="BM26" s="67" t="n">
        <f aca="false">SUM(BM20:BM25)</f>
        <v>1.76583046651572E-006</v>
      </c>
      <c r="BN26" s="67" t="n">
        <f aca="false">SUM(BN20:BN25)</f>
        <v>2.81011715274683E-009</v>
      </c>
      <c r="BO26" s="67" t="n">
        <f aca="false">SUM(BO20:BO25)</f>
        <v>0.0287319488601643</v>
      </c>
      <c r="BP26" s="67" t="n">
        <f aca="false">SUM(BP20:BP25)</f>
        <v>0</v>
      </c>
      <c r="BQ26" s="67" t="n">
        <f aca="false">SUM(BQ20:BQ25)</f>
        <v>7.35702949171219E-005</v>
      </c>
      <c r="BR26" s="67" t="n">
        <f aca="false">SUM(BR20:BR25)</f>
        <v>1.89973941714965E-006</v>
      </c>
      <c r="BS26" s="67" t="n">
        <f aca="false">SUM(BS20:BS25)</f>
        <v>1.02492173989316E-006</v>
      </c>
      <c r="BT26" s="67" t="n">
        <f aca="false">SUM(BT20:BT25)</f>
        <v>0</v>
      </c>
      <c r="BU26" s="67" t="n">
        <f aca="false">SUM(BU20:BU25)</f>
        <v>29.4281179668488</v>
      </c>
      <c r="BV26" s="67" t="n">
        <f aca="false">SUM(BV20:BV25)</f>
        <v>0.759895766859861</v>
      </c>
      <c r="BW26" s="67" t="n">
        <f aca="false">SUM(BW20:BW25)</f>
        <v>0.204984347978632</v>
      </c>
      <c r="BX26" s="68" t="n">
        <f aca="false">SUM(BU26:BW26)</f>
        <v>30.3929980816872</v>
      </c>
    </row>
    <row r="27" customFormat="false" ht="14.25" hidden="false" customHeight="false" outlineLevel="0" collapsed="false">
      <c r="A27" s="51"/>
      <c r="B27" s="49"/>
      <c r="C27" s="47"/>
      <c r="E27" s="51"/>
    </row>
  </sheetData>
  <mergeCells count="6">
    <mergeCell ref="D1:U1"/>
    <mergeCell ref="W1:AN1"/>
    <mergeCell ref="AP1:BK1"/>
    <mergeCell ref="BM1:BO1"/>
    <mergeCell ref="BQ1:BS1"/>
    <mergeCell ref="BU1:B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4.21"/>
  </cols>
  <sheetData>
    <row r="1" customFormat="false" ht="14.25" hidden="false" customHeight="false" outlineLevel="0" collapsed="false">
      <c r="B1" s="11" t="s">
        <v>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92.25" hidden="false" customHeight="true" outlineLevel="0" collapsed="false"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24</v>
      </c>
      <c r="L2" s="19" t="s">
        <v>25</v>
      </c>
      <c r="M2" s="19" t="s">
        <v>26</v>
      </c>
      <c r="N2" s="19" t="s">
        <v>27</v>
      </c>
      <c r="O2" s="19" t="s">
        <v>28</v>
      </c>
      <c r="P2" s="19" t="s">
        <v>29</v>
      </c>
      <c r="Q2" s="19" t="s">
        <v>30</v>
      </c>
      <c r="R2" s="19" t="s">
        <v>31</v>
      </c>
      <c r="S2" s="19" t="s">
        <v>32</v>
      </c>
    </row>
    <row r="3" customFormat="false" ht="14.25" hidden="false" customHeight="false" outlineLevel="0" collapsed="false"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19" t="s">
        <v>51</v>
      </c>
      <c r="H3" s="19" t="s">
        <v>52</v>
      </c>
      <c r="I3" s="19" t="s">
        <v>53</v>
      </c>
      <c r="J3" s="19" t="s">
        <v>54</v>
      </c>
      <c r="K3" s="19" t="s">
        <v>55</v>
      </c>
      <c r="L3" s="19" t="s">
        <v>56</v>
      </c>
      <c r="M3" s="19" t="s">
        <v>57</v>
      </c>
      <c r="N3" s="19" t="s">
        <v>58</v>
      </c>
      <c r="O3" s="19" t="s">
        <v>59</v>
      </c>
      <c r="P3" s="19" t="s">
        <v>60</v>
      </c>
      <c r="Q3" s="19" t="s">
        <v>61</v>
      </c>
      <c r="R3" s="19" t="s">
        <v>62</v>
      </c>
      <c r="S3" s="19" t="s">
        <v>63</v>
      </c>
    </row>
    <row r="4" customFormat="false" ht="14.25" hidden="false" customHeight="false" outlineLevel="0" collapsed="false"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91</v>
      </c>
      <c r="H4" s="20" t="s">
        <v>93</v>
      </c>
      <c r="I4" s="20" t="s">
        <v>94</v>
      </c>
      <c r="J4" s="20" t="s">
        <v>95</v>
      </c>
      <c r="K4" s="20" t="s">
        <v>96</v>
      </c>
      <c r="L4" s="20" t="s">
        <v>96</v>
      </c>
      <c r="M4" s="20" t="s">
        <v>96</v>
      </c>
      <c r="N4" s="20" t="s">
        <v>96</v>
      </c>
      <c r="O4" s="20" t="s">
        <v>96</v>
      </c>
      <c r="P4" s="20" t="s">
        <v>97</v>
      </c>
      <c r="Q4" s="20" t="s">
        <v>98</v>
      </c>
      <c r="R4" s="20" t="s">
        <v>99</v>
      </c>
      <c r="S4" s="20" t="s">
        <v>100</v>
      </c>
    </row>
    <row r="5" s="70" customFormat="true" ht="43.5" hidden="false" customHeight="true" outlineLevel="0" collapsed="false">
      <c r="A5" s="53" t="s">
        <v>154</v>
      </c>
      <c r="B5" s="69" t="n">
        <f aca="false">Analysis!D13</f>
        <v>12.5945768264328</v>
      </c>
      <c r="C5" s="69" t="n">
        <f aca="false">Analysis!E13</f>
        <v>3.3787603858611E-006</v>
      </c>
      <c r="D5" s="69" t="n">
        <f aca="false">Analysis!F13</f>
        <v>0.0390644655774187</v>
      </c>
      <c r="E5" s="69" t="n">
        <f aca="false">Analysis!G13</f>
        <v>0.0200815062313937</v>
      </c>
      <c r="F5" s="69" t="n">
        <f aca="false">Analysis!H13</f>
        <v>0.0115829357278817</v>
      </c>
      <c r="G5" s="69" t="n">
        <f aca="false">Analysis!I13</f>
        <v>0.0210297393167526</v>
      </c>
      <c r="H5" s="69" t="n">
        <f aca="false">Analysis!J13</f>
        <v>0.030066615746697</v>
      </c>
      <c r="I5" s="69" t="n">
        <f aca="false">Analysis!K13</f>
        <v>0.00806075041122203</v>
      </c>
      <c r="J5" s="69" t="n">
        <f aca="false">Analysis!L13</f>
        <v>0.000515511680391337</v>
      </c>
      <c r="K5" s="69" t="n">
        <f aca="false">Analysis!M13</f>
        <v>33.2749581569276</v>
      </c>
      <c r="L5" s="69" t="n">
        <f aca="false">Analysis!N13</f>
        <v>0.778623448500641</v>
      </c>
      <c r="M5" s="69" t="n">
        <f aca="false">Analysis!O13</f>
        <v>0.997018154206177</v>
      </c>
      <c r="N5" s="69" t="n">
        <f aca="false">Analysis!P13</f>
        <v>0.605362585640626</v>
      </c>
      <c r="O5" s="69" t="n">
        <f aca="false">Analysis!Q13</f>
        <v>13.4649689341145</v>
      </c>
      <c r="P5" s="69" t="n">
        <f aca="false">Analysis!R13</f>
        <v>0.0783518836040484</v>
      </c>
      <c r="Q5" s="69" t="n">
        <f aca="false">Analysis!S13</f>
        <v>0.0230068969765292</v>
      </c>
      <c r="R5" s="69" t="n">
        <f aca="false">Analysis!T13</f>
        <v>3.64979688611617</v>
      </c>
      <c r="S5" s="69" t="n">
        <f aca="false">Analysis!U13</f>
        <v>0.0533278268512794</v>
      </c>
    </row>
    <row r="6" s="70" customFormat="true" ht="43.5" hidden="false" customHeight="true" outlineLevel="0" collapsed="false">
      <c r="A6" s="65" t="s">
        <v>168</v>
      </c>
      <c r="B6" s="69" t="n">
        <f aca="false">Analysis!D26</f>
        <v>0.44954318225984</v>
      </c>
      <c r="C6" s="69" t="n">
        <f aca="false">Analysis!E26</f>
        <v>1.91221876045924E-007</v>
      </c>
      <c r="D6" s="69" t="n">
        <f aca="false">Analysis!F26</f>
        <v>0.0325872910986354</v>
      </c>
      <c r="E6" s="69" t="n">
        <f aca="false">Analysis!G26</f>
        <v>0.00126133969661453</v>
      </c>
      <c r="F6" s="69" t="n">
        <f aca="false">Analysis!H26</f>
        <v>0.00108040939429048</v>
      </c>
      <c r="G6" s="69" t="n">
        <f aca="false">Analysis!I26</f>
        <v>0.00133030118931441</v>
      </c>
      <c r="H6" s="69" t="n">
        <f aca="false">Analysis!J26</f>
        <v>0.00242920937813653</v>
      </c>
      <c r="I6" s="69" t="n">
        <f aca="false">Analysis!K26</f>
        <v>0.000307736176547389</v>
      </c>
      <c r="J6" s="69" t="n">
        <f aca="false">Analysis!L26</f>
        <v>2.51654831429434E-005</v>
      </c>
      <c r="K6" s="69" t="n">
        <f aca="false">Analysis!M26</f>
        <v>15.5754488078162</v>
      </c>
      <c r="L6" s="69" t="n">
        <f aca="false">Analysis!N26</f>
        <v>0.208125438189294</v>
      </c>
      <c r="M6" s="69" t="n">
        <f aca="false">Analysis!O26</f>
        <v>0.264467130995719</v>
      </c>
      <c r="N6" s="69" t="n">
        <f aca="false">Analysis!P26</f>
        <v>0.0634074030394362</v>
      </c>
      <c r="O6" s="69" t="n">
        <f aca="false">Analysis!Q26</f>
        <v>1.8802951890523</v>
      </c>
      <c r="P6" s="69" t="n">
        <f aca="false">Analysis!R26</f>
        <v>0.0144193576463724</v>
      </c>
      <c r="Q6" s="69" t="n">
        <f aca="false">Analysis!S26</f>
        <v>0.00841367425782106</v>
      </c>
      <c r="R6" s="69" t="n">
        <f aca="false">Analysis!T26</f>
        <v>0.113415989838252</v>
      </c>
      <c r="S6" s="69" t="n">
        <f aca="false">Analysis!U26</f>
        <v>0.0153061328348344</v>
      </c>
    </row>
    <row r="9" customFormat="false" ht="14.25" hidden="false" customHeight="false" outlineLevel="0" collapsed="false">
      <c r="B9" s="71" t="s">
        <v>8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</row>
    <row r="10" customFormat="false" ht="100.5" hidden="false" customHeight="true" outlineLevel="0" collapsed="false">
      <c r="B10" s="72" t="s">
        <v>15</v>
      </c>
      <c r="C10" s="72" t="s">
        <v>16</v>
      </c>
      <c r="D10" s="72" t="s">
        <v>17</v>
      </c>
      <c r="E10" s="72" t="s">
        <v>18</v>
      </c>
      <c r="F10" s="72" t="s">
        <v>19</v>
      </c>
      <c r="G10" s="72" t="s">
        <v>20</v>
      </c>
      <c r="H10" s="72" t="s">
        <v>21</v>
      </c>
      <c r="I10" s="72" t="s">
        <v>22</v>
      </c>
      <c r="J10" s="72" t="s">
        <v>23</v>
      </c>
      <c r="K10" s="72" t="s">
        <v>24</v>
      </c>
      <c r="L10" s="72" t="s">
        <v>25</v>
      </c>
      <c r="M10" s="72" t="s">
        <v>26</v>
      </c>
      <c r="N10" s="72" t="s">
        <v>27</v>
      </c>
      <c r="O10" s="72" t="s">
        <v>28</v>
      </c>
      <c r="P10" s="72" t="s">
        <v>29</v>
      </c>
      <c r="Q10" s="72" t="s">
        <v>30</v>
      </c>
      <c r="R10" s="72" t="s">
        <v>31</v>
      </c>
      <c r="S10" s="72" t="s">
        <v>32</v>
      </c>
    </row>
    <row r="11" customFormat="false" ht="14.25" hidden="false" customHeight="false" outlineLevel="0" collapsed="false">
      <c r="B11" s="72" t="s">
        <v>46</v>
      </c>
      <c r="C11" s="72" t="s">
        <v>47</v>
      </c>
      <c r="D11" s="72" t="s">
        <v>48</v>
      </c>
      <c r="E11" s="72" t="s">
        <v>49</v>
      </c>
      <c r="F11" s="72" t="s">
        <v>50</v>
      </c>
      <c r="G11" s="72" t="s">
        <v>51</v>
      </c>
      <c r="H11" s="72" t="s">
        <v>52</v>
      </c>
      <c r="I11" s="72" t="s">
        <v>53</v>
      </c>
      <c r="J11" s="72" t="s">
        <v>54</v>
      </c>
      <c r="K11" s="72" t="s">
        <v>55</v>
      </c>
      <c r="L11" s="72" t="s">
        <v>56</v>
      </c>
      <c r="M11" s="72" t="s">
        <v>57</v>
      </c>
      <c r="N11" s="72" t="s">
        <v>58</v>
      </c>
      <c r="O11" s="72" t="s">
        <v>59</v>
      </c>
      <c r="P11" s="72" t="s">
        <v>60</v>
      </c>
      <c r="Q11" s="72" t="s">
        <v>61</v>
      </c>
      <c r="R11" s="72" t="s">
        <v>62</v>
      </c>
      <c r="S11" s="72" t="s">
        <v>63</v>
      </c>
    </row>
    <row r="12" s="55" customFormat="true" ht="33" hidden="false" customHeight="true" outlineLevel="0" collapsed="false">
      <c r="A12" s="73" t="s">
        <v>154</v>
      </c>
      <c r="B12" s="56" t="n">
        <f aca="false">Analysis!W13</f>
        <v>0.00157366201017902</v>
      </c>
      <c r="C12" s="56" t="n">
        <f aca="false">Analysis!X13</f>
        <v>5.63903457502335E-005</v>
      </c>
      <c r="D12" s="56" t="n">
        <f aca="false">Analysis!Y13</f>
        <v>8.13008322059954E-005</v>
      </c>
      <c r="E12" s="56" t="n">
        <f aca="false">Analysis!Z13</f>
        <v>0.000975658085770545</v>
      </c>
      <c r="F12" s="56" t="n">
        <f aca="false">Analysis!AA13</f>
        <v>0.000452787487544468</v>
      </c>
      <c r="G12" s="56" t="n">
        <f aca="false">Analysis!AB13</f>
        <v>0.00118637632930675</v>
      </c>
      <c r="H12" s="56" t="n">
        <f aca="false">Analysis!AC13</f>
        <v>0.000732827587732763</v>
      </c>
      <c r="I12" s="56" t="n">
        <f aca="false">Analysis!AD13</f>
        <v>0.0124295540692126</v>
      </c>
      <c r="J12" s="56" t="n">
        <f aca="false">Analysis!AE13</f>
        <v>0.000112307901799541</v>
      </c>
      <c r="K12" s="56" t="n">
        <f aca="false">Analysis!AF13</f>
        <v>0.00219287429165326</v>
      </c>
      <c r="L12" s="56" t="n">
        <f aca="false">Analysis!AG13</f>
        <v>0.0308379537847028</v>
      </c>
      <c r="M12" s="56" t="n">
        <f aca="false">Analysis!AH13</f>
        <v>0.0229427472984944</v>
      </c>
      <c r="N12" s="56" t="n">
        <f aca="false">Analysis!AI13</f>
        <v>0.0588121246176177</v>
      </c>
      <c r="O12" s="56" t="n">
        <f aca="false">Analysis!AJ13</f>
        <v>0.000430405165342663</v>
      </c>
      <c r="P12" s="56" t="n">
        <f aca="false">Analysis!AK13</f>
        <v>1.26879501836233E-005</v>
      </c>
      <c r="Q12" s="56" t="n">
        <f aca="false">Analysis!AL13</f>
        <v>1.92477343455427E-007</v>
      </c>
      <c r="R12" s="56" t="n">
        <f aca="false">Analysis!AM13</f>
        <v>0.00371738571734055</v>
      </c>
      <c r="S12" s="56" t="n">
        <f aca="false">Analysis!AN13</f>
        <v>0.000199583351978056</v>
      </c>
    </row>
    <row r="13" s="55" customFormat="true" ht="33" hidden="false" customHeight="true" outlineLevel="0" collapsed="false">
      <c r="A13" s="74" t="s">
        <v>168</v>
      </c>
      <c r="B13" s="56" t="n">
        <f aca="false">Analysis!W26</f>
        <v>5.61693368190492E-005</v>
      </c>
      <c r="C13" s="56" t="n">
        <f aca="false">Analysis!X26</f>
        <v>3.19142717262853E-006</v>
      </c>
      <c r="D13" s="56" t="n">
        <f aca="false">Analysis!Y26</f>
        <v>6.78205588249379E-005</v>
      </c>
      <c r="E13" s="56" t="n">
        <f aca="false">Analysis!Z26</f>
        <v>6.12820701657058E-005</v>
      </c>
      <c r="F13" s="56" t="n">
        <f aca="false">Analysis!AA26</f>
        <v>4.22341854131735E-005</v>
      </c>
      <c r="G13" s="56" t="n">
        <f aca="false">Analysis!AB26</f>
        <v>7.50479032611684E-005</v>
      </c>
      <c r="H13" s="56" t="n">
        <f aca="false">Analysis!AC26</f>
        <v>5.92082482336962E-005</v>
      </c>
      <c r="I13" s="56" t="n">
        <f aca="false">Analysis!AD26</f>
        <v>0.000474524485973836</v>
      </c>
      <c r="J13" s="56" t="n">
        <f aca="false">Analysis!AE26</f>
        <v>5.48248025614124E-006</v>
      </c>
      <c r="K13" s="56" t="n">
        <f aca="false">Analysis!AF26</f>
        <v>0.00102644760995772</v>
      </c>
      <c r="L13" s="56" t="n">
        <f aca="false">Analysis!AG26</f>
        <v>0.00824296090319607</v>
      </c>
      <c r="M13" s="56" t="n">
        <f aca="false">Analysis!AH26</f>
        <v>0.0060857493212083</v>
      </c>
      <c r="N13" s="56" t="n">
        <f aca="false">Analysis!AI26</f>
        <v>0.00616014959908447</v>
      </c>
      <c r="O13" s="56" t="n">
        <f aca="false">Analysis!AJ26</f>
        <v>6.01032773040177E-005</v>
      </c>
      <c r="P13" s="56" t="n">
        <f aca="false">Analysis!AK26</f>
        <v>2.33500565757385E-006</v>
      </c>
      <c r="Q13" s="56" t="n">
        <f aca="false">Analysis!AL26</f>
        <v>7.03893998176637E-008</v>
      </c>
      <c r="R13" s="56" t="n">
        <f aca="false">Analysis!AM26</f>
        <v>0.000115516285946367</v>
      </c>
      <c r="S13" s="56" t="n">
        <f aca="false">Analysis!AN26</f>
        <v>5.72843387283901E-005</v>
      </c>
    </row>
    <row r="16" customFormat="false" ht="14.25" hidden="false" customHeight="false" outlineLevel="0" collapsed="false">
      <c r="B16" s="14" t="s">
        <v>11</v>
      </c>
      <c r="C16" s="14"/>
      <c r="D16" s="14"/>
      <c r="E16" s="75"/>
      <c r="F16" s="20" t="s">
        <v>151</v>
      </c>
    </row>
    <row r="17" customFormat="false" ht="26.25" hidden="false" customHeight="true" outlineLevel="0" collapsed="false">
      <c r="B17" s="26" t="s">
        <v>39</v>
      </c>
      <c r="C17" s="26" t="s">
        <v>40</v>
      </c>
      <c r="D17" s="26" t="s">
        <v>41</v>
      </c>
      <c r="E17" s="75"/>
      <c r="F17" s="20" t="s">
        <v>86</v>
      </c>
    </row>
    <row r="18" customFormat="false" ht="14.25" hidden="false" customHeight="false" outlineLevel="0" collapsed="false">
      <c r="A18" s="73" t="s">
        <v>154</v>
      </c>
      <c r="B18" s="76" t="n">
        <f aca="false">Analysis!BQ13</f>
        <v>0.00100616289354607</v>
      </c>
      <c r="C18" s="76" t="n">
        <f aca="false">Analysis!BR13</f>
        <v>3.51343625040584E-005</v>
      </c>
      <c r="D18" s="76" t="n">
        <f aca="false">Analysis!BS13</f>
        <v>3.09310047704533E-005</v>
      </c>
      <c r="E18" s="75"/>
      <c r="F18" s="77" t="n">
        <f aca="false">Analysis!BX13</f>
        <v>422.705103374141</v>
      </c>
    </row>
    <row r="19" customFormat="false" ht="14.25" hidden="false" customHeight="false" outlineLevel="0" collapsed="false">
      <c r="A19" s="74" t="s">
        <v>168</v>
      </c>
      <c r="B19" s="76" t="n">
        <f aca="false">Analysis!BQ26</f>
        <v>7.35702949171219E-005</v>
      </c>
      <c r="C19" s="76" t="n">
        <f aca="false">Analysis!BR26</f>
        <v>1.89973941714965E-006</v>
      </c>
      <c r="D19" s="76" t="n">
        <f aca="false">Analysis!BS26</f>
        <v>1.02492173989316E-006</v>
      </c>
      <c r="E19" s="75"/>
      <c r="F19" s="77" t="n">
        <f aca="false">Analysis!BX26</f>
        <v>30.3929980816872</v>
      </c>
    </row>
  </sheetData>
  <mergeCells count="3">
    <mergeCell ref="B1:S1"/>
    <mergeCell ref="B9:S9"/>
    <mergeCell ref="B16:D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2026-09-05T13:12:58Z</dcterms:created>
  <dc:creator>พุทธดี อุบลศุข</dc:creator>
  <dc:description/>
  <dc:language>en-US</dc:language>
  <cp:lastModifiedBy>พุทธดี อุบลศุข</cp:lastModifiedBy>
  <dcterms:modified xsi:type="dcterms:W3CDTF">2026-09-20T11:50:46Z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