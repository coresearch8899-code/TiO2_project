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napon\2569\TiO2\Creat_manuscript\"/>
    </mc:Choice>
  </mc:AlternateContent>
  <xr:revisionPtr revIDLastSave="0" documentId="13_ncr:1_{E1D2D853-2584-44D6-B480-FF5421E63116}" xr6:coauthVersionLast="47" xr6:coauthVersionMax="47" xr10:uidLastSave="{00000000-0000-0000-0000-000000000000}"/>
  <bookViews>
    <workbookView xWindow="-120" yWindow="-120" windowWidth="29040" windowHeight="15720" xr2:uid="{F48A8F7C-8B16-4AA9-B42E-6EE493301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1" l="1"/>
  <c r="K43" i="1"/>
  <c r="K44" i="1"/>
  <c r="K45" i="1"/>
  <c r="K46" i="1"/>
  <c r="K49" i="1"/>
  <c r="I34" i="1"/>
  <c r="I35" i="1"/>
  <c r="K35" i="1" s="1"/>
  <c r="I36" i="1"/>
  <c r="K36" i="1" s="1"/>
  <c r="I37" i="1"/>
  <c r="K37" i="1" s="1"/>
  <c r="I38" i="1"/>
  <c r="K38" i="1" s="1"/>
  <c r="I39" i="1"/>
  <c r="I40" i="1"/>
  <c r="K40" i="1" s="1"/>
  <c r="I41" i="1"/>
  <c r="I42" i="1"/>
  <c r="I43" i="1"/>
  <c r="I44" i="1"/>
  <c r="I45" i="1"/>
  <c r="I46" i="1"/>
  <c r="I47" i="1"/>
  <c r="I48" i="1"/>
  <c r="K48" i="1" s="1"/>
  <c r="I49" i="1"/>
  <c r="J34" i="1"/>
  <c r="J35" i="1"/>
  <c r="J36" i="1"/>
  <c r="J37" i="1"/>
  <c r="J38" i="1"/>
  <c r="J39" i="1"/>
  <c r="J40" i="1"/>
  <c r="J41" i="1"/>
  <c r="K41" i="1" s="1"/>
  <c r="J42" i="1"/>
  <c r="J43" i="1"/>
  <c r="J44" i="1"/>
  <c r="J45" i="1"/>
  <c r="J46" i="1"/>
  <c r="J47" i="1"/>
  <c r="K47" i="1" s="1"/>
  <c r="J48" i="1"/>
  <c r="J49" i="1"/>
  <c r="K42" i="1" l="1"/>
  <c r="K39" i="1"/>
  <c r="I23" i="1"/>
  <c r="I24" i="1"/>
  <c r="I25" i="1"/>
  <c r="I26" i="1"/>
  <c r="I27" i="1"/>
  <c r="I28" i="1"/>
  <c r="I30" i="1"/>
  <c r="I31" i="1"/>
  <c r="I32" i="1"/>
  <c r="I33" i="1"/>
  <c r="I2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Q55" i="1"/>
  <c r="Q56" i="1"/>
  <c r="Q58" i="1"/>
  <c r="Q59" i="1"/>
  <c r="Q60" i="1"/>
  <c r="Q61" i="1"/>
  <c r="Q62" i="1"/>
  <c r="Q63" i="1"/>
  <c r="Q64" i="1"/>
  <c r="Q65" i="1"/>
  <c r="Q66" i="1"/>
  <c r="Q67" i="1"/>
  <c r="Q68" i="1"/>
  <c r="Q70" i="1"/>
  <c r="Q71" i="1"/>
  <c r="Q72" i="1"/>
  <c r="Q74" i="1"/>
  <c r="Q75" i="1"/>
  <c r="Q76" i="1"/>
  <c r="Q54" i="1"/>
  <c r="P55" i="1"/>
  <c r="P56" i="1"/>
  <c r="P57" i="1"/>
  <c r="P58" i="1"/>
  <c r="P59" i="1"/>
  <c r="P60" i="1"/>
  <c r="P61" i="1"/>
  <c r="P62" i="1"/>
  <c r="P63" i="1"/>
  <c r="P64" i="1"/>
  <c r="P66" i="1"/>
  <c r="P67" i="1"/>
  <c r="P68" i="1"/>
  <c r="P70" i="1"/>
  <c r="P71" i="1"/>
  <c r="P72" i="1"/>
  <c r="P74" i="1"/>
  <c r="P75" i="1"/>
  <c r="P76" i="1"/>
  <c r="P54" i="1"/>
  <c r="O55" i="1"/>
  <c r="O56" i="1"/>
  <c r="O57" i="1"/>
  <c r="O58" i="1"/>
  <c r="O59" i="1"/>
  <c r="O60" i="1"/>
  <c r="O61" i="1"/>
  <c r="O62" i="1"/>
  <c r="O63" i="1"/>
  <c r="O64" i="1"/>
  <c r="O66" i="1"/>
  <c r="O67" i="1"/>
  <c r="O68" i="1"/>
  <c r="O69" i="1"/>
  <c r="O70" i="1"/>
  <c r="O71" i="1"/>
  <c r="O72" i="1"/>
  <c r="O73" i="1"/>
  <c r="O74" i="1"/>
  <c r="O75" i="1"/>
  <c r="O76" i="1"/>
  <c r="O54" i="1"/>
  <c r="I73" i="1"/>
  <c r="P73" i="1" s="1"/>
  <c r="J73" i="1"/>
  <c r="K73" i="1"/>
  <c r="H73" i="1"/>
  <c r="Q73" i="1" s="1"/>
  <c r="I69" i="1"/>
  <c r="P69" i="1" s="1"/>
  <c r="J69" i="1"/>
  <c r="K69" i="1"/>
  <c r="H69" i="1"/>
  <c r="Q69" i="1" s="1"/>
  <c r="I65" i="1"/>
  <c r="P65" i="1" s="1"/>
  <c r="J65" i="1"/>
  <c r="O65" i="1" s="1"/>
  <c r="K65" i="1"/>
  <c r="N65" i="1" s="1"/>
  <c r="H65" i="1"/>
  <c r="G57" i="1"/>
  <c r="Q57" i="1" s="1"/>
  <c r="H77" i="1"/>
  <c r="Q77" i="1" s="1"/>
  <c r="N55" i="1"/>
  <c r="N56" i="1"/>
  <c r="N58" i="1"/>
  <c r="N59" i="1"/>
  <c r="N60" i="1"/>
  <c r="N61" i="1"/>
  <c r="N62" i="1"/>
  <c r="N63" i="1"/>
  <c r="N64" i="1"/>
  <c r="N66" i="1"/>
  <c r="N67" i="1"/>
  <c r="N68" i="1"/>
  <c r="N69" i="1"/>
  <c r="N70" i="1"/>
  <c r="N71" i="1"/>
  <c r="N72" i="1"/>
  <c r="N73" i="1"/>
  <c r="N74" i="1"/>
  <c r="N75" i="1"/>
  <c r="N76" i="1"/>
  <c r="N54" i="1"/>
  <c r="M55" i="1"/>
  <c r="M56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54" i="1"/>
  <c r="K77" i="1"/>
  <c r="N77" i="1" s="1"/>
  <c r="J77" i="1"/>
  <c r="O77" i="1" s="1"/>
  <c r="I77" i="1"/>
  <c r="P77" i="1" s="1"/>
  <c r="H33" i="1" l="1"/>
  <c r="J33" i="1" s="1"/>
  <c r="K33" i="1" s="1"/>
  <c r="J32" i="1"/>
  <c r="K32" i="1" s="1"/>
  <c r="J31" i="1"/>
  <c r="K31" i="1" s="1"/>
  <c r="J30" i="1"/>
  <c r="K30" i="1" s="1"/>
  <c r="H29" i="1"/>
  <c r="G29" i="1"/>
  <c r="J28" i="1"/>
  <c r="K28" i="1" s="1"/>
  <c r="J27" i="1"/>
  <c r="K27" i="1" s="1"/>
  <c r="J26" i="1"/>
  <c r="K26" i="1" s="1"/>
  <c r="H25" i="1"/>
  <c r="J25" i="1" s="1"/>
  <c r="K25" i="1" s="1"/>
  <c r="J24" i="1"/>
  <c r="K24" i="1" s="1"/>
  <c r="J23" i="1"/>
  <c r="K23" i="1" s="1"/>
  <c r="J22" i="1"/>
  <c r="K22" i="1" s="1"/>
  <c r="J29" i="1" l="1"/>
  <c r="I29" i="1"/>
  <c r="K29" i="1" s="1"/>
  <c r="N57" i="1"/>
  <c r="M57" i="1"/>
</calcChain>
</file>

<file path=xl/sharedStrings.xml><?xml version="1.0" encoding="utf-8"?>
<sst xmlns="http://schemas.openxmlformats.org/spreadsheetml/2006/main" count="146" uniqueCount="81">
  <si>
    <t>Response</t>
  </si>
  <si>
    <t>Run</t>
  </si>
  <si>
    <t>Glucose_g</t>
  </si>
  <si>
    <t>CuSO4_g</t>
  </si>
  <si>
    <t>Synthesis_Time_min</t>
  </si>
  <si>
    <t>A_i</t>
  </si>
  <si>
    <t>A_0</t>
  </si>
  <si>
    <t>A_60</t>
  </si>
  <si>
    <t>Dark_Adsorption_%</t>
  </si>
  <si>
    <t>Mass_Dark_Adsorption_mg</t>
  </si>
  <si>
    <t>Photo_Degradation_%</t>
  </si>
  <si>
    <t>Mass_Photo_Degradation_mg</t>
  </si>
  <si>
    <t>Total_Degradation_%</t>
  </si>
  <si>
    <t>Total_Mass_Degradation_mg</t>
  </si>
  <si>
    <t>ln_A0_At</t>
  </si>
  <si>
    <t>k_app_min-1</t>
  </si>
  <si>
    <t>AQE</t>
  </si>
  <si>
    <t>EEO_kWh_m3_order</t>
  </si>
  <si>
    <t>SEC_syn_Wh_per_mg</t>
  </si>
  <si>
    <t>SEC_photo_Wh_per_mg</t>
  </si>
  <si>
    <t>SEC_total_Wh_per_mg</t>
  </si>
  <si>
    <t>SEC_photo_check</t>
  </si>
  <si>
    <t>SEC_syn_ratio_%</t>
  </si>
  <si>
    <t>SEC_photo_ratio_%</t>
  </si>
  <si>
    <t>experimental validation and ทดสอบความทนทาน</t>
  </si>
  <si>
    <t>RUN</t>
  </si>
  <si>
    <t>Glucose(g)</t>
  </si>
  <si>
    <t>CuSO4(g)</t>
  </si>
  <si>
    <t>Time(min)</t>
  </si>
  <si>
    <t>rep</t>
  </si>
  <si>
    <t>Ai</t>
  </si>
  <si>
    <t>A0</t>
  </si>
  <si>
    <t>A60</t>
  </si>
  <si>
    <t>ค่าเฉลี่ย</t>
  </si>
  <si>
    <t>ทดสอบเพื่อหาค่า Kinetic แต่ละเงื่อนไข</t>
  </si>
  <si>
    <t>A15</t>
  </si>
  <si>
    <t>A30</t>
  </si>
  <si>
    <t>A45</t>
  </si>
  <si>
    <t>synthesis method</t>
  </si>
  <si>
    <t>Heat/none light</t>
  </si>
  <si>
    <t>light/none heat</t>
  </si>
  <si>
    <t>light + heat/none Cu+Glu</t>
  </si>
  <si>
    <t>light + heat/none Cu</t>
  </si>
  <si>
    <t>light + heat/none Glu</t>
  </si>
  <si>
    <t>light + heat</t>
  </si>
  <si>
    <t>LED visible ligth 100W</t>
  </si>
  <si>
    <t xml:space="preserve"> 282.857 W/m^2</t>
  </si>
  <si>
    <t>Area (A) บีกเกอร์ 0.00196 ตรม.</t>
  </si>
  <si>
    <t>peak wave 619.4 nm</t>
  </si>
  <si>
    <t>methylene blue 2.5 mg/L, ใช้ 100mL/sample</t>
  </si>
  <si>
    <t>wave length 350 nm</t>
  </si>
  <si>
    <t xml:space="preserve"> 1361.706 PPFD</t>
  </si>
  <si>
    <t>Synthesis ใช้หลอดไฟ LED full spectum 100 W, 380-780 nm, อุณหภูมิ 70 องศาC</t>
  </si>
  <si>
    <t>ทดลอง photocatalytic ใช้หลอดไฟ LED full spectum 100 W, 380-780 nm, เวลา 1 ชั่วโมง</t>
  </si>
  <si>
    <t>Photo_Degradation 60 %</t>
  </si>
  <si>
    <t>Photo_Degradation 45 %</t>
  </si>
  <si>
    <t>Photo_Degradation 30 %</t>
  </si>
  <si>
    <t>Photo_Degradation 15 %</t>
  </si>
  <si>
    <t>V1</t>
  </si>
  <si>
    <t>V2</t>
  </si>
  <si>
    <t>V3</t>
  </si>
  <si>
    <t>K1</t>
  </si>
  <si>
    <t>K2</t>
  </si>
  <si>
    <t>K3-TiO2 = 1.00 g</t>
  </si>
  <si>
    <t>K4</t>
  </si>
  <si>
    <t>K5</t>
  </si>
  <si>
    <t>K6</t>
  </si>
  <si>
    <t>Experimental</t>
  </si>
  <si>
    <r>
      <t xml:space="preserve">TOTAL_MASS_MG = </t>
    </r>
    <r>
      <rPr>
        <sz val="11"/>
        <color rgb="FF116644"/>
        <rFont val="Courier New"/>
        <family val="3"/>
      </rPr>
      <t>0.25</t>
    </r>
    <r>
      <rPr>
        <sz val="11"/>
        <color rgb="FF000000"/>
        <rFont val="Courier New"/>
        <family val="3"/>
      </rPr>
      <t xml:space="preserve">          </t>
    </r>
    <r>
      <rPr>
        <sz val="11"/>
        <color rgb="FF008000"/>
        <rFont val="Courier New"/>
        <family val="3"/>
      </rPr>
      <t># 2.5 mg/L × 0.1 L = 0.25 mg methylene blue</t>
    </r>
  </si>
  <si>
    <r>
      <t xml:space="preserve">POWER_W = </t>
    </r>
    <r>
      <rPr>
        <sz val="11"/>
        <color rgb="FF116644"/>
        <rFont val="Courier New"/>
        <family val="3"/>
      </rPr>
      <t>100</t>
    </r>
    <r>
      <rPr>
        <sz val="11"/>
        <color rgb="FF000000"/>
        <rFont val="Courier New"/>
        <family val="3"/>
      </rPr>
      <t xml:space="preserve">                 </t>
    </r>
    <r>
      <rPr>
        <sz val="11"/>
        <color rgb="FF008000"/>
        <rFont val="Courier New"/>
        <family val="3"/>
      </rPr>
      <t># LED lamp power</t>
    </r>
  </si>
  <si>
    <r>
      <t xml:space="preserve">TIME_H = 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                   </t>
    </r>
    <r>
      <rPr>
        <sz val="11"/>
        <color rgb="FF008000"/>
        <rFont val="Courier New"/>
        <family val="3"/>
      </rPr>
      <t># photocatalytic irradiation time (1 hour)</t>
    </r>
  </si>
  <si>
    <r>
      <t xml:space="preserve">VOLUME_L = </t>
    </r>
    <r>
      <rPr>
        <sz val="11"/>
        <color rgb="FF116644"/>
        <rFont val="Courier New"/>
        <family val="3"/>
      </rPr>
      <t>0.1</t>
    </r>
    <r>
      <rPr>
        <sz val="11"/>
        <color rgb="FF000000"/>
        <rFont val="Courier New"/>
        <family val="3"/>
      </rPr>
      <t xml:space="preserve">                </t>
    </r>
    <r>
      <rPr>
        <sz val="11"/>
        <color rgb="FF008000"/>
        <rFont val="Courier New"/>
        <family val="3"/>
      </rPr>
      <t># sample volume (0.1 L)</t>
    </r>
  </si>
  <si>
    <r>
      <t xml:space="preserve">AREA_M2 = </t>
    </r>
    <r>
      <rPr>
        <sz val="11"/>
        <color rgb="FF116644"/>
        <rFont val="Courier New"/>
        <family val="3"/>
      </rPr>
      <t>0.00196</t>
    </r>
    <r>
      <rPr>
        <sz val="11"/>
        <color rgb="FF000000"/>
        <rFont val="Courier New"/>
        <family val="3"/>
      </rPr>
      <t xml:space="preserve">             </t>
    </r>
    <r>
      <rPr>
        <sz val="11"/>
        <color rgb="FF008000"/>
        <rFont val="Courier New"/>
        <family val="3"/>
      </rPr>
      <t># beaker area (0.00196 m²)</t>
    </r>
  </si>
  <si>
    <r>
      <t xml:space="preserve">PPFD_UMOL_M2_S = </t>
    </r>
    <r>
      <rPr>
        <sz val="11"/>
        <color rgb="FF116644"/>
        <rFont val="Courier New"/>
        <family val="3"/>
      </rPr>
      <t>1361.706</t>
    </r>
    <r>
      <rPr>
        <sz val="11"/>
        <color rgb="FF000000"/>
        <rFont val="Courier New"/>
        <family val="3"/>
      </rPr>
      <t xml:space="preserve">     </t>
    </r>
    <r>
      <rPr>
        <sz val="11"/>
        <color rgb="FF008000"/>
        <rFont val="Courier New"/>
        <family val="3"/>
      </rPr>
      <t># photosynthetic photon flux density</t>
    </r>
  </si>
  <si>
    <r>
      <t xml:space="preserve">MW_MB = </t>
    </r>
    <r>
      <rPr>
        <sz val="11"/>
        <color rgb="FF116644"/>
        <rFont val="Courier New"/>
        <family val="3"/>
      </rPr>
      <t>319.85</t>
    </r>
    <r>
      <rPr>
        <sz val="11"/>
        <color rgb="FF000000"/>
        <rFont val="Courier New"/>
        <family val="3"/>
      </rPr>
      <t xml:space="preserve">                </t>
    </r>
    <r>
      <rPr>
        <sz val="11"/>
        <color rgb="FF008000"/>
        <rFont val="Courier New"/>
        <family val="3"/>
      </rPr>
      <t># molar mass of methylene blue (g/mol)</t>
    </r>
  </si>
  <si>
    <t>V1-3= validation optimization, V5-6=ทดสอบขอบ</t>
  </si>
  <si>
    <t>total</t>
  </si>
  <si>
    <t>V4</t>
  </si>
  <si>
    <t>V5</t>
  </si>
  <si>
    <t>V6</t>
  </si>
  <si>
    <t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</si>
</sst>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rgb="FF000000"/>
      <name val="Courier New"/>
      <family val="3"/>
    </font>
    <font>
      <sz val="11"/>
      <color rgb="FF116644"/>
      <name val="Courier New"/>
      <family val="3"/>
    </font>
    <font>
      <sz val="11"/>
      <color rgb="FF008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/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 vertical="top"/>
    </xf>
    <xf numFmtId="165" fontId="1" fillId="0" borderId="3" xfId="0" applyNumberFormat="1" applyFont="1" applyBorder="1"/>
    <xf numFmtId="166" fontId="1" fillId="0" borderId="3" xfId="0" applyNumberFormat="1" applyFont="1" applyBorder="1"/>
    <xf numFmtId="166" fontId="1" fillId="0" borderId="3" xfId="0" applyNumberFormat="1" applyFont="1" applyBorder="1" applyAlignment="1">
      <alignment horizontal="right" vertical="center" wrapText="1"/>
    </xf>
    <xf numFmtId="0" fontId="1" fillId="0" borderId="5" xfId="0" applyFont="1" applyBorder="1"/>
    <xf numFmtId="0" fontId="1" fillId="0" borderId="2" xfId="0" applyFont="1" applyBorder="1"/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02F6-2657-4945-9576-9BC74A5C47F5}">
  <dimension ref="A1:AN78"/>
  <sheetViews>
    <sheetView tabSelected="1" topLeftCell="A19" zoomScale="96" workbookViewId="0">
      <selection activeCell="G48" sqref="G48"/>
    </sheetView>
  </sheetViews>
  <sheetFormatPr defaultRowHeight="12.75" x14ac:dyDescent="0.2"/>
  <cols>
    <col min="1" max="7" width="9.28515625" style="2" bestFit="1" customWidth="1"/>
    <col min="8" max="8" width="9.85546875" style="2" bestFit="1" customWidth="1"/>
    <col min="9" max="9" width="9.28515625" style="2" bestFit="1" customWidth="1"/>
    <col min="10" max="10" width="9.85546875" style="2" bestFit="1" customWidth="1"/>
    <col min="11" max="11" width="9.28515625" style="2" bestFit="1" customWidth="1"/>
    <col min="12" max="12" width="21.28515625" style="2" bestFit="1" customWidth="1"/>
    <col min="13" max="13" width="9.85546875" style="2" bestFit="1" customWidth="1"/>
    <col min="14" max="14" width="9.28515625" style="2" bestFit="1" customWidth="1"/>
    <col min="15" max="15" width="12.5703125" style="2" bestFit="1" customWidth="1"/>
    <col min="16" max="16" width="11.42578125" style="2" bestFit="1" customWidth="1"/>
    <col min="17" max="17" width="19.42578125" style="2" bestFit="1" customWidth="1"/>
    <col min="18" max="18" width="21.5703125" style="2" bestFit="1" customWidth="1"/>
    <col min="19" max="19" width="23.7109375" style="2" bestFit="1" customWidth="1"/>
    <col min="20" max="20" width="22.42578125" style="2" bestFit="1" customWidth="1"/>
    <col min="21" max="21" width="17.85546875" style="2" bestFit="1" customWidth="1"/>
    <col min="22" max="22" width="17.42578125" style="2" bestFit="1" customWidth="1"/>
    <col min="23" max="23" width="19.5703125" style="2" bestFit="1" customWidth="1"/>
    <col min="24" max="16384" width="9.140625" style="2"/>
  </cols>
  <sheetData>
    <row r="1" spans="1:23" x14ac:dyDescent="0.2">
      <c r="A1" s="2" t="s">
        <v>67</v>
      </c>
      <c r="H1" s="19" t="s">
        <v>0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/>
      <c r="J2" s="4" t="s">
        <v>10</v>
      </c>
      <c r="L2" s="4" t="s">
        <v>12</v>
      </c>
      <c r="M2" s="4"/>
      <c r="N2" s="4" t="s">
        <v>14</v>
      </c>
      <c r="O2" s="4" t="s">
        <v>15</v>
      </c>
      <c r="P2" s="4" t="s">
        <v>16</v>
      </c>
      <c r="Q2" s="4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</row>
    <row r="3" spans="1:23" x14ac:dyDescent="0.2">
      <c r="A3" s="4">
        <v>1</v>
      </c>
      <c r="B3" s="4">
        <v>0.5</v>
      </c>
      <c r="C3" s="4">
        <v>0.02</v>
      </c>
      <c r="D3" s="4">
        <v>150</v>
      </c>
      <c r="E3" s="4">
        <v>0.57099999999999995</v>
      </c>
      <c r="F3" s="4">
        <v>0.498</v>
      </c>
      <c r="G3" s="4">
        <v>0.41899999999999998</v>
      </c>
      <c r="H3" s="6">
        <f>((E3-F3)/E3)*100</f>
        <v>12.784588441330991</v>
      </c>
      <c r="I3" s="6"/>
      <c r="J3" s="6">
        <f>((F3-G3)/F3)*100</f>
        <v>15.863453815261048</v>
      </c>
      <c r="L3" s="6">
        <f>H3+J3</f>
        <v>28.648042256592039</v>
      </c>
      <c r="M3" s="12"/>
      <c r="N3" s="6"/>
      <c r="O3" s="13"/>
      <c r="P3" s="14"/>
      <c r="Q3" s="6"/>
      <c r="R3" s="6"/>
      <c r="S3" s="6"/>
      <c r="T3" s="6"/>
      <c r="U3" s="6"/>
      <c r="V3" s="6"/>
      <c r="W3" s="6"/>
    </row>
    <row r="4" spans="1:23" x14ac:dyDescent="0.2">
      <c r="A4" s="4">
        <v>2</v>
      </c>
      <c r="B4" s="4">
        <v>2</v>
      </c>
      <c r="C4" s="4">
        <v>0.02</v>
      </c>
      <c r="D4" s="4">
        <v>150</v>
      </c>
      <c r="E4" s="4">
        <v>0.627</v>
      </c>
      <c r="F4" s="4">
        <v>0.51400000000000001</v>
      </c>
      <c r="G4" s="4">
        <v>0.49199999999999999</v>
      </c>
      <c r="H4" s="6">
        <f t="shared" ref="H4:H17" si="0">((E4-F4)/E4)*100</f>
        <v>18.022328548644335</v>
      </c>
      <c r="I4" s="6"/>
      <c r="J4" s="6">
        <f t="shared" ref="J4:J17" si="1">((F4-G4)/F4)*100</f>
        <v>4.2801556420233497</v>
      </c>
      <c r="K4" s="4"/>
      <c r="L4" s="6">
        <f t="shared" ref="L4:L17" si="2">H4+J4</f>
        <v>22.302484190667684</v>
      </c>
      <c r="M4" s="12"/>
      <c r="N4" s="6"/>
      <c r="O4" s="13"/>
      <c r="P4" s="14"/>
      <c r="Q4" s="6"/>
      <c r="R4" s="6"/>
      <c r="S4" s="6"/>
      <c r="T4" s="6"/>
      <c r="U4" s="6"/>
      <c r="V4" s="6"/>
      <c r="W4" s="6"/>
    </row>
    <row r="5" spans="1:23" x14ac:dyDescent="0.2">
      <c r="A5" s="4">
        <v>3</v>
      </c>
      <c r="B5" s="4">
        <v>0.5</v>
      </c>
      <c r="C5" s="4">
        <v>0.08</v>
      </c>
      <c r="D5" s="4">
        <v>150</v>
      </c>
      <c r="E5" s="4">
        <v>0.57099999999999995</v>
      </c>
      <c r="F5" s="4">
        <v>0.47399999999999998</v>
      </c>
      <c r="G5" s="4">
        <v>0.44700000000000001</v>
      </c>
      <c r="H5" s="6">
        <f t="shared" si="0"/>
        <v>16.987740805604201</v>
      </c>
      <c r="I5" s="6"/>
      <c r="J5" s="6">
        <f t="shared" si="1"/>
        <v>5.6962025316455636</v>
      </c>
      <c r="K5" s="6"/>
      <c r="L5" s="6">
        <f t="shared" si="2"/>
        <v>22.683943337249765</v>
      </c>
      <c r="M5" s="12"/>
      <c r="N5" s="6"/>
      <c r="O5" s="13"/>
      <c r="P5" s="14"/>
      <c r="Q5" s="6"/>
      <c r="R5" s="6"/>
      <c r="S5" s="6"/>
      <c r="T5" s="6"/>
      <c r="U5" s="6"/>
      <c r="V5" s="6"/>
      <c r="W5" s="6"/>
    </row>
    <row r="6" spans="1:23" x14ac:dyDescent="0.2">
      <c r="A6" s="4">
        <v>4</v>
      </c>
      <c r="B6" s="4">
        <v>2</v>
      </c>
      <c r="C6" s="4">
        <v>0.05</v>
      </c>
      <c r="D6" s="4">
        <v>150</v>
      </c>
      <c r="E6" s="4">
        <v>0.57099999999999995</v>
      </c>
      <c r="F6" s="4">
        <v>0.47499999999999998</v>
      </c>
      <c r="G6" s="4">
        <v>0.40200000000000002</v>
      </c>
      <c r="H6" s="6">
        <f t="shared" si="0"/>
        <v>16.812609457092815</v>
      </c>
      <c r="I6" s="6"/>
      <c r="J6" s="6">
        <f t="shared" si="1"/>
        <v>15.36842105263157</v>
      </c>
      <c r="K6" s="6"/>
      <c r="L6" s="6">
        <f t="shared" si="2"/>
        <v>32.181030509724387</v>
      </c>
      <c r="M6" s="12"/>
      <c r="N6" s="6"/>
      <c r="O6" s="13"/>
      <c r="P6" s="14"/>
      <c r="Q6" s="6"/>
      <c r="R6" s="6"/>
      <c r="S6" s="6"/>
      <c r="T6" s="6"/>
      <c r="U6" s="6"/>
      <c r="V6" s="6"/>
      <c r="W6" s="6"/>
    </row>
    <row r="7" spans="1:23" x14ac:dyDescent="0.2">
      <c r="A7" s="4">
        <v>5</v>
      </c>
      <c r="B7" s="4">
        <v>0.5</v>
      </c>
      <c r="C7" s="4">
        <v>0.05</v>
      </c>
      <c r="D7" s="4">
        <v>120</v>
      </c>
      <c r="E7" s="4">
        <v>0.57099999999999995</v>
      </c>
      <c r="F7" s="4">
        <v>0.46400000000000002</v>
      </c>
      <c r="G7" s="4">
        <v>0.39800000000000002</v>
      </c>
      <c r="H7" s="6">
        <f t="shared" si="0"/>
        <v>18.739054290718027</v>
      </c>
      <c r="I7" s="6"/>
      <c r="J7" s="6">
        <f t="shared" si="1"/>
        <v>14.224137931034484</v>
      </c>
      <c r="K7" s="6"/>
      <c r="L7" s="6">
        <f t="shared" si="2"/>
        <v>32.963192221752507</v>
      </c>
      <c r="M7" s="12"/>
      <c r="N7" s="6"/>
      <c r="O7" s="13"/>
      <c r="P7" s="14"/>
      <c r="Q7" s="6"/>
      <c r="R7" s="6"/>
      <c r="S7" s="6"/>
      <c r="T7" s="6"/>
      <c r="U7" s="6"/>
      <c r="V7" s="6"/>
      <c r="W7" s="6"/>
    </row>
    <row r="8" spans="1:23" x14ac:dyDescent="0.2">
      <c r="A8" s="4">
        <v>6</v>
      </c>
      <c r="B8" s="4">
        <v>2</v>
      </c>
      <c r="C8" s="4">
        <v>0.05</v>
      </c>
      <c r="D8" s="4">
        <v>120</v>
      </c>
      <c r="E8" s="4">
        <v>0.57099999999999995</v>
      </c>
      <c r="F8" s="4">
        <v>0.52900000000000003</v>
      </c>
      <c r="G8" s="4">
        <v>0.45700000000000002</v>
      </c>
      <c r="H8" s="6">
        <f t="shared" si="0"/>
        <v>7.3555166374780958</v>
      </c>
      <c r="I8" s="6"/>
      <c r="J8" s="6">
        <f t="shared" si="1"/>
        <v>13.610586011342157</v>
      </c>
      <c r="K8" s="6"/>
      <c r="L8" s="6">
        <f t="shared" si="2"/>
        <v>20.966102648820254</v>
      </c>
      <c r="M8" s="12"/>
      <c r="N8" s="6"/>
      <c r="O8" s="13"/>
      <c r="P8" s="14"/>
      <c r="Q8" s="6"/>
      <c r="R8" s="6"/>
      <c r="S8" s="6"/>
      <c r="T8" s="6"/>
      <c r="U8" s="6"/>
      <c r="V8" s="6"/>
      <c r="W8" s="6"/>
    </row>
    <row r="9" spans="1:23" x14ac:dyDescent="0.2">
      <c r="A9" s="4">
        <v>7</v>
      </c>
      <c r="B9" s="4">
        <v>0.5</v>
      </c>
      <c r="C9" s="4">
        <v>0.05</v>
      </c>
      <c r="D9" s="4">
        <v>180</v>
      </c>
      <c r="E9" s="4">
        <v>0.57099999999999995</v>
      </c>
      <c r="F9" s="4">
        <v>0.46300000000000002</v>
      </c>
      <c r="G9" s="4">
        <v>0.42099999999999999</v>
      </c>
      <c r="H9" s="6">
        <f t="shared" si="0"/>
        <v>18.914185639229412</v>
      </c>
      <c r="I9" s="6"/>
      <c r="J9" s="6">
        <f t="shared" si="1"/>
        <v>9.0712742980561636</v>
      </c>
      <c r="K9" s="6"/>
      <c r="L9" s="6">
        <f t="shared" si="2"/>
        <v>27.985459937285576</v>
      </c>
      <c r="M9" s="12"/>
      <c r="N9" s="6"/>
      <c r="O9" s="13"/>
      <c r="P9" s="14"/>
      <c r="Q9" s="6"/>
      <c r="R9" s="6"/>
      <c r="S9" s="6"/>
      <c r="T9" s="6"/>
      <c r="U9" s="6"/>
      <c r="V9" s="6"/>
      <c r="W9" s="6"/>
    </row>
    <row r="10" spans="1:23" x14ac:dyDescent="0.2">
      <c r="A10" s="4">
        <v>8</v>
      </c>
      <c r="B10" s="4">
        <v>2</v>
      </c>
      <c r="C10" s="4">
        <v>0.05</v>
      </c>
      <c r="D10" s="4">
        <v>180</v>
      </c>
      <c r="E10" s="4">
        <v>0.57099999999999995</v>
      </c>
      <c r="F10" s="4">
        <v>0.499</v>
      </c>
      <c r="G10" s="4">
        <v>0.41599999999999998</v>
      </c>
      <c r="H10" s="6">
        <f t="shared" si="0"/>
        <v>12.609457092819607</v>
      </c>
      <c r="I10" s="6"/>
      <c r="J10" s="6">
        <f t="shared" si="1"/>
        <v>16.633266533066134</v>
      </c>
      <c r="K10" s="6"/>
      <c r="L10" s="6">
        <f t="shared" si="2"/>
        <v>29.242723625885741</v>
      </c>
      <c r="M10" s="12"/>
      <c r="N10" s="6"/>
      <c r="O10" s="13"/>
      <c r="P10" s="14"/>
      <c r="Q10" s="6"/>
      <c r="R10" s="6"/>
      <c r="S10" s="6"/>
      <c r="T10" s="6"/>
      <c r="U10" s="6"/>
      <c r="V10" s="6"/>
      <c r="W10" s="6"/>
    </row>
    <row r="11" spans="1:23" x14ac:dyDescent="0.2">
      <c r="A11" s="4">
        <v>9</v>
      </c>
      <c r="B11" s="4">
        <v>1.25</v>
      </c>
      <c r="C11" s="4">
        <v>0.02</v>
      </c>
      <c r="D11" s="4">
        <v>120</v>
      </c>
      <c r="E11" s="4">
        <v>0.627</v>
      </c>
      <c r="F11" s="4">
        <v>0.52700000000000002</v>
      </c>
      <c r="G11" s="4">
        <v>0.45100000000000001</v>
      </c>
      <c r="H11" s="6">
        <f t="shared" si="0"/>
        <v>15.948963317384365</v>
      </c>
      <c r="I11" s="6"/>
      <c r="J11" s="6">
        <f t="shared" si="1"/>
        <v>14.421252371916509</v>
      </c>
      <c r="K11" s="6"/>
      <c r="L11" s="6">
        <f t="shared" si="2"/>
        <v>30.370215689300874</v>
      </c>
      <c r="M11" s="12"/>
      <c r="N11" s="6"/>
      <c r="O11" s="13"/>
      <c r="P11" s="14"/>
      <c r="Q11" s="6"/>
      <c r="R11" s="6"/>
      <c r="S11" s="6"/>
      <c r="T11" s="6"/>
      <c r="U11" s="6"/>
      <c r="V11" s="6"/>
      <c r="W11" s="6"/>
    </row>
    <row r="12" spans="1:23" x14ac:dyDescent="0.2">
      <c r="A12" s="4">
        <v>10</v>
      </c>
      <c r="B12" s="4">
        <v>1.25</v>
      </c>
      <c r="C12" s="4">
        <v>0.08</v>
      </c>
      <c r="D12" s="4">
        <v>120</v>
      </c>
      <c r="E12" s="4">
        <v>0.627</v>
      </c>
      <c r="F12" s="4">
        <v>0.55000000000000004</v>
      </c>
      <c r="G12" s="4">
        <v>0.434</v>
      </c>
      <c r="H12" s="6">
        <f t="shared" si="0"/>
        <v>12.280701754385959</v>
      </c>
      <c r="I12" s="6"/>
      <c r="J12" s="6">
        <f t="shared" si="1"/>
        <v>21.090909090909101</v>
      </c>
      <c r="K12" s="6"/>
      <c r="L12" s="6">
        <f t="shared" si="2"/>
        <v>33.371610845295059</v>
      </c>
      <c r="M12" s="12"/>
      <c r="N12" s="6"/>
      <c r="O12" s="13"/>
      <c r="P12" s="14"/>
      <c r="Q12" s="6"/>
      <c r="R12" s="6"/>
      <c r="S12" s="6"/>
      <c r="T12" s="6"/>
      <c r="U12" s="6"/>
      <c r="V12" s="6"/>
      <c r="W12" s="6"/>
    </row>
    <row r="13" spans="1:23" x14ac:dyDescent="0.2">
      <c r="A13" s="4">
        <v>11</v>
      </c>
      <c r="B13" s="4">
        <v>1.25</v>
      </c>
      <c r="C13" s="4">
        <v>0.02</v>
      </c>
      <c r="D13" s="4">
        <v>180</v>
      </c>
      <c r="E13" s="4">
        <v>0.627</v>
      </c>
      <c r="F13" s="4">
        <v>0.54100000000000004</v>
      </c>
      <c r="G13" s="4">
        <v>0.501</v>
      </c>
      <c r="H13" s="6">
        <f t="shared" si="0"/>
        <v>13.716108452950554</v>
      </c>
      <c r="I13" s="6"/>
      <c r="J13" s="6">
        <f t="shared" si="1"/>
        <v>7.3937153419593411</v>
      </c>
      <c r="K13" s="6"/>
      <c r="L13" s="6">
        <f t="shared" si="2"/>
        <v>21.109823794909893</v>
      </c>
      <c r="M13" s="12"/>
      <c r="N13" s="6"/>
      <c r="O13" s="13"/>
      <c r="P13" s="14"/>
      <c r="Q13" s="6"/>
      <c r="R13" s="6"/>
      <c r="S13" s="6"/>
      <c r="T13" s="6"/>
      <c r="U13" s="6"/>
      <c r="V13" s="6"/>
      <c r="W13" s="6"/>
    </row>
    <row r="14" spans="1:23" x14ac:dyDescent="0.2">
      <c r="A14" s="4">
        <v>12</v>
      </c>
      <c r="B14" s="4">
        <v>1.25</v>
      </c>
      <c r="C14" s="4">
        <v>0.08</v>
      </c>
      <c r="D14" s="4">
        <v>180</v>
      </c>
      <c r="E14" s="4">
        <v>0.627</v>
      </c>
      <c r="F14" s="4">
        <v>0.55100000000000005</v>
      </c>
      <c r="G14" s="4">
        <v>0.498</v>
      </c>
      <c r="H14" s="6">
        <f t="shared" si="0"/>
        <v>12.121212121212114</v>
      </c>
      <c r="I14" s="6"/>
      <c r="J14" s="6">
        <f t="shared" si="1"/>
        <v>9.618874773139753</v>
      </c>
      <c r="K14" s="6"/>
      <c r="L14" s="6">
        <f t="shared" si="2"/>
        <v>21.740086894351869</v>
      </c>
      <c r="M14" s="12"/>
      <c r="N14" s="6"/>
      <c r="O14" s="13"/>
      <c r="P14" s="14"/>
      <c r="Q14" s="6"/>
      <c r="R14" s="6"/>
      <c r="S14" s="6"/>
      <c r="T14" s="6"/>
      <c r="U14" s="6"/>
      <c r="V14" s="6"/>
      <c r="W14" s="6"/>
    </row>
    <row r="15" spans="1:23" x14ac:dyDescent="0.2">
      <c r="A15" s="4">
        <v>13</v>
      </c>
      <c r="B15" s="4">
        <v>1.25</v>
      </c>
      <c r="C15" s="4">
        <v>0.05</v>
      </c>
      <c r="D15" s="4">
        <v>150</v>
      </c>
      <c r="E15" s="4">
        <v>0.627</v>
      </c>
      <c r="F15" s="4">
        <v>0.51100000000000001</v>
      </c>
      <c r="G15" s="4">
        <v>0.39700000000000002</v>
      </c>
      <c r="H15" s="6">
        <f t="shared" si="0"/>
        <v>18.500797448165869</v>
      </c>
      <c r="I15" s="6"/>
      <c r="J15" s="6">
        <f t="shared" si="1"/>
        <v>22.309197651663403</v>
      </c>
      <c r="K15" s="6"/>
      <c r="L15" s="6">
        <f t="shared" si="2"/>
        <v>40.809995099829273</v>
      </c>
      <c r="M15" s="12"/>
      <c r="N15" s="6"/>
      <c r="O15" s="13"/>
      <c r="P15" s="14"/>
      <c r="Q15" s="6"/>
      <c r="R15" s="6"/>
      <c r="S15" s="6"/>
      <c r="T15" s="6"/>
      <c r="U15" s="6"/>
      <c r="V15" s="6"/>
      <c r="W15" s="6"/>
    </row>
    <row r="16" spans="1:23" x14ac:dyDescent="0.2">
      <c r="A16" s="4">
        <v>14</v>
      </c>
      <c r="B16" s="4">
        <v>1.25</v>
      </c>
      <c r="C16" s="4">
        <v>0.05</v>
      </c>
      <c r="D16" s="4">
        <v>150</v>
      </c>
      <c r="E16" s="4">
        <v>0.627</v>
      </c>
      <c r="F16" s="4">
        <v>0.51300000000000001</v>
      </c>
      <c r="G16" s="4">
        <v>0.39900000000000002</v>
      </c>
      <c r="H16" s="6">
        <f t="shared" si="0"/>
        <v>18.18181818181818</v>
      </c>
      <c r="I16" s="6"/>
      <c r="J16" s="6">
        <f t="shared" si="1"/>
        <v>22.222222222222221</v>
      </c>
      <c r="K16" s="6"/>
      <c r="L16" s="6">
        <f t="shared" si="2"/>
        <v>40.404040404040401</v>
      </c>
      <c r="M16" s="12"/>
      <c r="N16" s="6"/>
      <c r="O16" s="13"/>
      <c r="P16" s="14"/>
      <c r="Q16" s="6"/>
      <c r="R16" s="6"/>
      <c r="S16" s="6"/>
      <c r="T16" s="6"/>
      <c r="U16" s="6"/>
      <c r="V16" s="6"/>
      <c r="W16" s="6"/>
    </row>
    <row r="17" spans="1:40" x14ac:dyDescent="0.2">
      <c r="A17" s="4">
        <v>15</v>
      </c>
      <c r="B17" s="4">
        <v>1.25</v>
      </c>
      <c r="C17" s="4">
        <v>0.05</v>
      </c>
      <c r="D17" s="4">
        <v>150</v>
      </c>
      <c r="E17" s="4">
        <v>0.627</v>
      </c>
      <c r="F17" s="4">
        <v>0.51400000000000001</v>
      </c>
      <c r="G17" s="4">
        <v>0.40100000000000002</v>
      </c>
      <c r="H17" s="6">
        <f t="shared" si="0"/>
        <v>18.022328548644335</v>
      </c>
      <c r="I17" s="6"/>
      <c r="J17" s="6">
        <f t="shared" si="1"/>
        <v>21.984435797665366</v>
      </c>
      <c r="K17" s="6"/>
      <c r="L17" s="6">
        <f t="shared" si="2"/>
        <v>40.006764346309701</v>
      </c>
      <c r="M17" s="12"/>
      <c r="N17" s="6"/>
      <c r="O17" s="13"/>
      <c r="P17" s="14"/>
      <c r="Q17" s="6"/>
      <c r="R17" s="6"/>
      <c r="S17" s="6"/>
      <c r="T17" s="6"/>
      <c r="U17" s="6"/>
      <c r="V17" s="6"/>
      <c r="W17" s="6"/>
    </row>
    <row r="20" spans="1:40" x14ac:dyDescent="0.2">
      <c r="A20" s="1" t="s">
        <v>24</v>
      </c>
      <c r="B20" s="10"/>
      <c r="C20" s="10"/>
      <c r="D20" s="10"/>
      <c r="E20" s="10"/>
      <c r="F20" s="10"/>
      <c r="G20" s="10"/>
      <c r="H20" s="10"/>
      <c r="I20" s="6" t="s">
        <v>75</v>
      </c>
      <c r="J20" s="10"/>
      <c r="K20" s="4"/>
      <c r="L20" s="4" t="s">
        <v>8</v>
      </c>
      <c r="M20" s="4"/>
      <c r="N20" s="4" t="s">
        <v>10</v>
      </c>
      <c r="O20" s="4"/>
      <c r="P20" s="4" t="s">
        <v>12</v>
      </c>
      <c r="Q20" s="4"/>
      <c r="R20" s="4" t="s">
        <v>14</v>
      </c>
      <c r="S20" s="4" t="s">
        <v>15</v>
      </c>
      <c r="T20" s="4" t="s">
        <v>16</v>
      </c>
      <c r="U20" s="4" t="s">
        <v>17</v>
      </c>
      <c r="V20" s="11" t="s">
        <v>18</v>
      </c>
      <c r="W20" s="11" t="s">
        <v>19</v>
      </c>
      <c r="X20" s="11" t="s">
        <v>20</v>
      </c>
      <c r="Y20" s="11" t="s">
        <v>21</v>
      </c>
      <c r="Z20" s="11" t="s">
        <v>22</v>
      </c>
      <c r="AA20" s="7" t="s">
        <v>23</v>
      </c>
      <c r="AE20" s="17" t="s">
        <v>45</v>
      </c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x14ac:dyDescent="0.2">
      <c r="A21" s="9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32</v>
      </c>
      <c r="I21" s="4" t="s">
        <v>8</v>
      </c>
      <c r="J21" s="4" t="s">
        <v>10</v>
      </c>
      <c r="K21" s="4" t="s">
        <v>76</v>
      </c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E21" s="17" t="s">
        <v>46</v>
      </c>
      <c r="AF21" s="17"/>
      <c r="AG21" s="17"/>
      <c r="AH21" s="17"/>
      <c r="AI21" s="17"/>
      <c r="AJ21" s="17"/>
      <c r="AK21" s="17"/>
      <c r="AL21" s="17"/>
      <c r="AM21" s="17"/>
      <c r="AN21" s="17"/>
    </row>
    <row r="22" spans="1:40" x14ac:dyDescent="0.2">
      <c r="A22" s="9" t="s">
        <v>58</v>
      </c>
      <c r="B22" s="5">
        <v>1.57</v>
      </c>
      <c r="C22" s="5">
        <v>7.1999999999999995E-2</v>
      </c>
      <c r="D22" s="4">
        <v>140</v>
      </c>
      <c r="E22" s="4">
        <v>1</v>
      </c>
      <c r="F22" s="6">
        <v>0.58699999999999997</v>
      </c>
      <c r="G22" s="6">
        <v>0.48099999999999998</v>
      </c>
      <c r="H22" s="6">
        <v>0.371</v>
      </c>
      <c r="I22" s="5">
        <f>((F22-G22)/F22)*100</f>
        <v>18.057921635434411</v>
      </c>
      <c r="J22" s="5">
        <f>((G22-H22)/G22)*100</f>
        <v>22.869022869022867</v>
      </c>
      <c r="K22" s="5">
        <f>I22+J22</f>
        <v>40.926944504457282</v>
      </c>
      <c r="L22" s="6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E22" s="17" t="s">
        <v>47</v>
      </c>
      <c r="AF22" s="17"/>
      <c r="AG22" s="17"/>
      <c r="AH22" s="17"/>
      <c r="AI22" s="17"/>
      <c r="AJ22" s="17"/>
      <c r="AK22" s="17"/>
      <c r="AL22" s="17"/>
      <c r="AM22" s="17"/>
      <c r="AN22" s="17"/>
    </row>
    <row r="23" spans="1:40" x14ac:dyDescent="0.2">
      <c r="A23" s="9"/>
      <c r="B23" s="5">
        <v>1.57</v>
      </c>
      <c r="C23" s="5">
        <v>7.1999999999999995E-2</v>
      </c>
      <c r="D23" s="4">
        <v>140</v>
      </c>
      <c r="E23" s="4">
        <v>2</v>
      </c>
      <c r="F23" s="6">
        <v>0.58699999999999997</v>
      </c>
      <c r="G23" s="6">
        <v>0.48</v>
      </c>
      <c r="H23" s="6">
        <v>0.37</v>
      </c>
      <c r="I23" s="5">
        <f t="shared" ref="I23:I38" si="3">((F23-G23)/F23)*100</f>
        <v>18.228279386712092</v>
      </c>
      <c r="J23" s="5">
        <f t="shared" ref="J23:J49" si="4">((G23-H23)/G23)*100</f>
        <v>22.916666666666664</v>
      </c>
      <c r="K23" s="5">
        <f t="shared" ref="K23:K49" si="5">I23+J23</f>
        <v>41.14494605337876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E23" s="17" t="s">
        <v>48</v>
      </c>
      <c r="AF23" s="17"/>
      <c r="AG23" s="17"/>
      <c r="AH23" s="17"/>
      <c r="AI23" s="17"/>
      <c r="AJ23" s="17"/>
      <c r="AK23" s="17"/>
      <c r="AL23" s="17"/>
      <c r="AM23" s="17"/>
      <c r="AN23" s="17"/>
    </row>
    <row r="24" spans="1:40" x14ac:dyDescent="0.2">
      <c r="A24" s="9"/>
      <c r="B24" s="5">
        <v>1.57</v>
      </c>
      <c r="C24" s="5">
        <v>7.1999999999999995E-2</v>
      </c>
      <c r="D24" s="4">
        <v>140</v>
      </c>
      <c r="E24" s="4">
        <v>3</v>
      </c>
      <c r="F24" s="6">
        <v>0.58699999999999997</v>
      </c>
      <c r="G24" s="6">
        <v>0.47899999999999998</v>
      </c>
      <c r="H24" s="6">
        <v>0.36899999999999999</v>
      </c>
      <c r="I24" s="5">
        <f t="shared" si="3"/>
        <v>18.398637137989777</v>
      </c>
      <c r="J24" s="5">
        <f t="shared" si="4"/>
        <v>22.964509394572023</v>
      </c>
      <c r="K24" s="5">
        <f t="shared" si="5"/>
        <v>41.3631465325618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E24" s="17" t="s">
        <v>49</v>
      </c>
      <c r="AF24" s="17"/>
      <c r="AG24" s="17"/>
      <c r="AH24" s="17"/>
      <c r="AI24" s="17"/>
      <c r="AJ24" s="17"/>
      <c r="AK24" s="17"/>
      <c r="AL24" s="17"/>
      <c r="AM24" s="17"/>
      <c r="AN24" s="17"/>
    </row>
    <row r="25" spans="1:40" x14ac:dyDescent="0.2">
      <c r="A25" s="9"/>
      <c r="B25" s="5">
        <v>1.57</v>
      </c>
      <c r="C25" s="5">
        <v>7.1999999999999995E-2</v>
      </c>
      <c r="D25" s="4">
        <v>140</v>
      </c>
      <c r="E25" s="4" t="s">
        <v>33</v>
      </c>
      <c r="F25" s="6">
        <v>0.58699999999999997</v>
      </c>
      <c r="G25" s="6">
        <v>0.48</v>
      </c>
      <c r="H25" s="6">
        <f>AVERAGE(H22:H24)</f>
        <v>0.36999999999999994</v>
      </c>
      <c r="I25" s="5">
        <f t="shared" si="3"/>
        <v>18.228279386712092</v>
      </c>
      <c r="J25" s="5">
        <f t="shared" si="4"/>
        <v>22.916666666666679</v>
      </c>
      <c r="K25" s="5">
        <f t="shared" si="5"/>
        <v>41.144946053378774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E25" s="17" t="s">
        <v>50</v>
      </c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x14ac:dyDescent="0.2">
      <c r="A26" s="9" t="s">
        <v>59</v>
      </c>
      <c r="B26" s="5">
        <v>1.57</v>
      </c>
      <c r="C26" s="5">
        <v>7.1999999999999995E-2</v>
      </c>
      <c r="D26" s="4">
        <v>140</v>
      </c>
      <c r="E26" s="4">
        <v>1</v>
      </c>
      <c r="F26" s="6">
        <v>0.58699999999999997</v>
      </c>
      <c r="G26" s="6">
        <v>0.48120000000000002</v>
      </c>
      <c r="H26" s="6">
        <v>0.36799999999999999</v>
      </c>
      <c r="I26" s="5">
        <f t="shared" si="3"/>
        <v>18.023850085178868</v>
      </c>
      <c r="J26" s="5">
        <f t="shared" si="4"/>
        <v>23.52452202826268</v>
      </c>
      <c r="K26" s="5">
        <f t="shared" si="5"/>
        <v>41.548372113441545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E26" s="17" t="s">
        <v>51</v>
      </c>
      <c r="AF26" s="17"/>
      <c r="AG26" s="17"/>
      <c r="AH26" s="17"/>
      <c r="AI26" s="17"/>
      <c r="AJ26" s="17"/>
      <c r="AK26" s="17"/>
      <c r="AL26" s="17"/>
      <c r="AM26" s="17"/>
      <c r="AN26" s="17"/>
    </row>
    <row r="27" spans="1:40" x14ac:dyDescent="0.2">
      <c r="A27" s="9"/>
      <c r="B27" s="5">
        <v>1.57</v>
      </c>
      <c r="C27" s="5">
        <v>7.1999999999999995E-2</v>
      </c>
      <c r="D27" s="4">
        <v>140</v>
      </c>
      <c r="E27" s="4">
        <v>2</v>
      </c>
      <c r="F27" s="6">
        <v>0.58699999999999997</v>
      </c>
      <c r="G27" s="6">
        <v>0.47989999999999999</v>
      </c>
      <c r="H27" s="6">
        <v>0.375</v>
      </c>
      <c r="I27" s="5">
        <f t="shared" si="3"/>
        <v>18.245315161839859</v>
      </c>
      <c r="J27" s="5">
        <f t="shared" si="4"/>
        <v>21.858720566784744</v>
      </c>
      <c r="K27" s="5">
        <f t="shared" si="5"/>
        <v>40.104035728624602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1:40" x14ac:dyDescent="0.2">
      <c r="A28" s="9"/>
      <c r="B28" s="5">
        <v>1.57</v>
      </c>
      <c r="C28" s="5">
        <v>7.1999999999999995E-2</v>
      </c>
      <c r="D28" s="4">
        <v>140</v>
      </c>
      <c r="E28" s="4">
        <v>3</v>
      </c>
      <c r="F28" s="6">
        <v>0.58699999999999997</v>
      </c>
      <c r="G28" s="6">
        <v>0.48299999999999998</v>
      </c>
      <c r="H28" s="6">
        <v>0.378</v>
      </c>
      <c r="I28" s="5">
        <f t="shared" si="3"/>
        <v>17.717206132879042</v>
      </c>
      <c r="J28" s="5">
        <f t="shared" si="4"/>
        <v>21.739130434782606</v>
      </c>
      <c r="K28" s="5">
        <f t="shared" si="5"/>
        <v>39.456336567661651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E28" s="17" t="s">
        <v>52</v>
      </c>
      <c r="AF28" s="17"/>
      <c r="AG28" s="17"/>
      <c r="AH28" s="17"/>
      <c r="AI28" s="17"/>
      <c r="AJ28" s="17"/>
      <c r="AK28" s="17"/>
      <c r="AL28" s="17"/>
      <c r="AM28" s="17"/>
      <c r="AN28" s="17"/>
    </row>
    <row r="29" spans="1:40" x14ac:dyDescent="0.2">
      <c r="A29" s="9"/>
      <c r="B29" s="5">
        <v>1.57</v>
      </c>
      <c r="C29" s="5">
        <v>7.1999999999999995E-2</v>
      </c>
      <c r="D29" s="4">
        <v>140</v>
      </c>
      <c r="E29" s="4" t="s">
        <v>33</v>
      </c>
      <c r="F29" s="6">
        <v>0.58699999999999997</v>
      </c>
      <c r="G29" s="6">
        <f>AVERAGE(G26:G28)</f>
        <v>0.48136666666666672</v>
      </c>
      <c r="H29" s="6">
        <f>AVERAGE(H26:H28)</f>
        <v>0.37366666666666665</v>
      </c>
      <c r="I29" s="5">
        <f t="shared" si="3"/>
        <v>17.99545712663258</v>
      </c>
      <c r="J29" s="5">
        <f t="shared" si="4"/>
        <v>22.373796828474497</v>
      </c>
      <c r="K29" s="5">
        <f t="shared" si="5"/>
        <v>40.369253955107077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E29" s="17" t="s">
        <v>53</v>
      </c>
      <c r="AF29" s="17"/>
      <c r="AG29" s="17"/>
      <c r="AH29" s="17"/>
      <c r="AI29" s="17"/>
      <c r="AJ29" s="17"/>
      <c r="AK29" s="17"/>
      <c r="AL29" s="17"/>
      <c r="AM29" s="17"/>
      <c r="AN29" s="17"/>
    </row>
    <row r="30" spans="1:40" x14ac:dyDescent="0.2">
      <c r="A30" s="9" t="s">
        <v>60</v>
      </c>
      <c r="B30" s="5">
        <v>1.57</v>
      </c>
      <c r="C30" s="5">
        <v>7.1999999999999995E-2</v>
      </c>
      <c r="D30" s="4">
        <v>140</v>
      </c>
      <c r="E30" s="4">
        <v>1</v>
      </c>
      <c r="F30" s="6">
        <v>0.58699999999999997</v>
      </c>
      <c r="G30" s="6">
        <v>0.48099999999999998</v>
      </c>
      <c r="H30" s="6">
        <v>0.376</v>
      </c>
      <c r="I30" s="5">
        <f t="shared" si="3"/>
        <v>18.057921635434411</v>
      </c>
      <c r="J30" s="5">
        <f t="shared" si="4"/>
        <v>21.829521829521827</v>
      </c>
      <c r="K30" s="5">
        <f t="shared" si="5"/>
        <v>39.887443464956235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1:40" x14ac:dyDescent="0.2">
      <c r="A31" s="9"/>
      <c r="B31" s="5">
        <v>1.57</v>
      </c>
      <c r="C31" s="5">
        <v>7.1999999999999995E-2</v>
      </c>
      <c r="D31" s="4">
        <v>140</v>
      </c>
      <c r="E31" s="4">
        <v>2</v>
      </c>
      <c r="F31" s="6">
        <v>0.58699999999999997</v>
      </c>
      <c r="G31" s="6">
        <v>0.48199999999999998</v>
      </c>
      <c r="H31" s="6">
        <v>0.38</v>
      </c>
      <c r="I31" s="5">
        <f t="shared" si="3"/>
        <v>17.887563884156727</v>
      </c>
      <c r="J31" s="5">
        <f t="shared" si="4"/>
        <v>21.161825726141075</v>
      </c>
      <c r="K31" s="5">
        <f t="shared" si="5"/>
        <v>39.049389610297801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1:40" ht="15" x14ac:dyDescent="0.2">
      <c r="A32" s="9"/>
      <c r="B32" s="5">
        <v>1.57</v>
      </c>
      <c r="C32" s="5">
        <v>7.1999999999999995E-2</v>
      </c>
      <c r="D32" s="4">
        <v>140</v>
      </c>
      <c r="E32" s="4">
        <v>3</v>
      </c>
      <c r="F32" s="6">
        <v>0.58699999999999997</v>
      </c>
      <c r="G32" s="6">
        <v>0.48</v>
      </c>
      <c r="H32" s="6">
        <v>0.375</v>
      </c>
      <c r="I32" s="5">
        <f t="shared" si="3"/>
        <v>18.228279386712092</v>
      </c>
      <c r="J32" s="5">
        <f t="shared" si="4"/>
        <v>21.874999999999996</v>
      </c>
      <c r="K32" s="5">
        <f t="shared" si="5"/>
        <v>40.103279386712089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E32" s="18" t="s">
        <v>68</v>
      </c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40" ht="15" x14ac:dyDescent="0.2">
      <c r="A33" s="9"/>
      <c r="B33" s="5">
        <v>1.57</v>
      </c>
      <c r="C33" s="5">
        <v>7.1999999999999995E-2</v>
      </c>
      <c r="D33" s="4">
        <v>140</v>
      </c>
      <c r="E33" s="4" t="s">
        <v>33</v>
      </c>
      <c r="F33" s="6">
        <v>0.58699999999999997</v>
      </c>
      <c r="G33" s="6">
        <v>0.48100000000000004</v>
      </c>
      <c r="H33" s="6">
        <f>AVERAGE(H30:H32)</f>
        <v>0.377</v>
      </c>
      <c r="I33" s="5">
        <f t="shared" si="3"/>
        <v>18.057921635434401</v>
      </c>
      <c r="J33" s="5">
        <f t="shared" si="4"/>
        <v>21.621621621621628</v>
      </c>
      <c r="K33" s="5">
        <f t="shared" si="5"/>
        <v>39.679543257056025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E33" s="18" t="s">
        <v>69</v>
      </c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ht="15" x14ac:dyDescent="0.2">
      <c r="A34" s="9" t="s">
        <v>77</v>
      </c>
      <c r="B34" s="5">
        <v>1.47</v>
      </c>
      <c r="C34" s="5">
        <v>7.1999999999999995E-2</v>
      </c>
      <c r="D34" s="4">
        <v>135</v>
      </c>
      <c r="E34" s="4">
        <v>1</v>
      </c>
      <c r="F34" s="6">
        <v>0.58699999999999997</v>
      </c>
      <c r="G34" s="6">
        <v>0.50600000000000001</v>
      </c>
      <c r="H34" s="6">
        <v>0.432</v>
      </c>
      <c r="I34" s="5">
        <f t="shared" si="3"/>
        <v>13.798977853492328</v>
      </c>
      <c r="J34" s="5">
        <f t="shared" si="4"/>
        <v>14.624505928853756</v>
      </c>
      <c r="K34" s="5">
        <f t="shared" si="5"/>
        <v>28.423483782346082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E34" s="18" t="s">
        <v>70</v>
      </c>
      <c r="AF34" s="17"/>
      <c r="AG34" s="17"/>
      <c r="AH34" s="17"/>
      <c r="AI34" s="17"/>
      <c r="AJ34" s="17"/>
      <c r="AK34" s="17"/>
      <c r="AL34" s="17"/>
      <c r="AM34" s="17"/>
      <c r="AN34" s="17"/>
    </row>
    <row r="35" spans="1:40" ht="15" x14ac:dyDescent="0.2">
      <c r="A35" s="9"/>
      <c r="B35" s="5">
        <v>1.47</v>
      </c>
      <c r="C35" s="5">
        <v>7.1999999999999995E-2</v>
      </c>
      <c r="D35" s="4">
        <v>135</v>
      </c>
      <c r="E35" s="4">
        <v>2</v>
      </c>
      <c r="F35" s="6">
        <v>0.58699999999999997</v>
      </c>
      <c r="G35" s="6">
        <v>0.505</v>
      </c>
      <c r="H35" s="6">
        <v>0.432</v>
      </c>
      <c r="I35" s="5">
        <f t="shared" si="3"/>
        <v>13.969335604770011</v>
      </c>
      <c r="J35" s="5">
        <f t="shared" si="4"/>
        <v>14.455445544554458</v>
      </c>
      <c r="K35" s="5">
        <f t="shared" si="5"/>
        <v>28.424781149324467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E35" s="18" t="s">
        <v>71</v>
      </c>
      <c r="AF35" s="17"/>
      <c r="AG35" s="17"/>
      <c r="AH35" s="17"/>
      <c r="AI35" s="17"/>
      <c r="AJ35" s="17"/>
      <c r="AK35" s="17"/>
      <c r="AL35" s="17"/>
      <c r="AM35" s="17"/>
      <c r="AN35" s="17"/>
    </row>
    <row r="36" spans="1:40" ht="15" x14ac:dyDescent="0.2">
      <c r="A36" s="9"/>
      <c r="B36" s="5">
        <v>1.47</v>
      </c>
      <c r="C36" s="5">
        <v>7.1999999999999995E-2</v>
      </c>
      <c r="D36" s="4">
        <v>135</v>
      </c>
      <c r="E36" s="4">
        <v>3</v>
      </c>
      <c r="F36" s="6">
        <v>0.58699999999999997</v>
      </c>
      <c r="G36" s="6">
        <v>0.505</v>
      </c>
      <c r="H36" s="6">
        <v>0.432</v>
      </c>
      <c r="I36" s="5">
        <f t="shared" si="3"/>
        <v>13.969335604770011</v>
      </c>
      <c r="J36" s="5">
        <f t="shared" si="4"/>
        <v>14.455445544554458</v>
      </c>
      <c r="K36" s="5">
        <f t="shared" si="5"/>
        <v>28.424781149324467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E36" s="18" t="s">
        <v>72</v>
      </c>
      <c r="AF36" s="17"/>
      <c r="AG36" s="17"/>
      <c r="AH36" s="17"/>
      <c r="AI36" s="17"/>
      <c r="AJ36" s="17"/>
      <c r="AK36" s="17"/>
      <c r="AL36" s="17"/>
      <c r="AM36" s="17"/>
      <c r="AN36" s="17"/>
    </row>
    <row r="37" spans="1:40" ht="15" x14ac:dyDescent="0.2">
      <c r="A37" s="9"/>
      <c r="B37" s="5">
        <v>1.47</v>
      </c>
      <c r="C37" s="5">
        <v>7.1999999999999995E-2</v>
      </c>
      <c r="D37" s="4">
        <v>135</v>
      </c>
      <c r="E37" s="4" t="s">
        <v>33</v>
      </c>
      <c r="F37" s="6">
        <v>0.58699999999999997</v>
      </c>
      <c r="G37" s="6">
        <v>0.5053333333333333</v>
      </c>
      <c r="H37" s="6">
        <v>0.432</v>
      </c>
      <c r="I37" s="5">
        <f t="shared" si="3"/>
        <v>13.912549687677455</v>
      </c>
      <c r="J37" s="5">
        <f t="shared" si="4"/>
        <v>14.51187335092348</v>
      </c>
      <c r="K37" s="5">
        <f t="shared" si="5"/>
        <v>28.424423038600935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E37" s="18" t="s">
        <v>73</v>
      </c>
      <c r="AF37" s="17"/>
      <c r="AG37" s="17"/>
      <c r="AH37" s="17"/>
      <c r="AI37" s="17"/>
      <c r="AJ37" s="17"/>
      <c r="AK37" s="17"/>
      <c r="AL37" s="17"/>
      <c r="AM37" s="17"/>
      <c r="AN37" s="17"/>
    </row>
    <row r="38" spans="1:40" ht="15" x14ac:dyDescent="0.2">
      <c r="A38" s="9" t="s">
        <v>78</v>
      </c>
      <c r="B38" s="5">
        <v>1.67</v>
      </c>
      <c r="C38" s="5">
        <v>7.1999999999999995E-2</v>
      </c>
      <c r="D38" s="4">
        <v>145</v>
      </c>
      <c r="E38" s="4">
        <v>1</v>
      </c>
      <c r="F38" s="6">
        <v>0.58699999999999997</v>
      </c>
      <c r="G38" s="6">
        <v>0.47599999999999998</v>
      </c>
      <c r="H38" s="6">
        <v>0.40600000000000003</v>
      </c>
      <c r="I38" s="5">
        <f t="shared" si="3"/>
        <v>18.909710391822827</v>
      </c>
      <c r="J38" s="5">
        <f t="shared" si="4"/>
        <v>14.705882352941165</v>
      </c>
      <c r="K38" s="5">
        <f t="shared" si="5"/>
        <v>33.615592744763994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E38" s="18" t="s">
        <v>74</v>
      </c>
      <c r="AF38" s="17"/>
      <c r="AG38" s="17"/>
      <c r="AH38" s="17"/>
      <c r="AI38" s="17"/>
      <c r="AJ38" s="17"/>
      <c r="AK38" s="17"/>
      <c r="AL38" s="17"/>
      <c r="AM38" s="17"/>
      <c r="AN38" s="17"/>
    </row>
    <row r="39" spans="1:40" x14ac:dyDescent="0.2">
      <c r="A39" s="9"/>
      <c r="B39" s="5">
        <v>1.67</v>
      </c>
      <c r="C39" s="5">
        <v>7.1999999999999995E-2</v>
      </c>
      <c r="D39" s="4">
        <v>145</v>
      </c>
      <c r="E39" s="4">
        <v>2</v>
      </c>
      <c r="F39" s="6">
        <v>0.58699999999999997</v>
      </c>
      <c r="G39" s="6">
        <v>0.47499999999999998</v>
      </c>
      <c r="H39" s="6">
        <v>0.40600000000000003</v>
      </c>
      <c r="I39" s="5">
        <f t="shared" ref="I39:I49" si="6">((F39-G39)/F39)*100</f>
        <v>19.080068143100508</v>
      </c>
      <c r="J39" s="5">
        <f t="shared" si="4"/>
        <v>14.526315789473673</v>
      </c>
      <c r="K39" s="5">
        <f t="shared" si="5"/>
        <v>33.606383932574182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40" x14ac:dyDescent="0.2">
      <c r="A40" s="9"/>
      <c r="B40" s="5">
        <v>1.67</v>
      </c>
      <c r="C40" s="5">
        <v>7.1999999999999995E-2</v>
      </c>
      <c r="D40" s="4">
        <v>145</v>
      </c>
      <c r="E40" s="4">
        <v>3</v>
      </c>
      <c r="F40" s="6">
        <v>0.58699999999999997</v>
      </c>
      <c r="G40" s="6">
        <v>0.47699999999999998</v>
      </c>
      <c r="H40" s="6">
        <v>0.40600000000000003</v>
      </c>
      <c r="I40" s="5">
        <f t="shared" si="6"/>
        <v>18.739352640545142</v>
      </c>
      <c r="J40" s="5">
        <f t="shared" si="4"/>
        <v>14.884696016771478</v>
      </c>
      <c r="K40" s="5">
        <f t="shared" si="5"/>
        <v>33.624048657316621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40" x14ac:dyDescent="0.2">
      <c r="A41" s="9"/>
      <c r="B41" s="5">
        <v>1.67</v>
      </c>
      <c r="C41" s="5">
        <v>7.1999999999999995E-2</v>
      </c>
      <c r="D41" s="4">
        <v>145</v>
      </c>
      <c r="E41" s="4" t="s">
        <v>33</v>
      </c>
      <c r="F41" s="6">
        <v>0.58699999999999997</v>
      </c>
      <c r="G41" s="6">
        <v>0.47599999999999998</v>
      </c>
      <c r="H41" s="6">
        <v>0.40599999999999997</v>
      </c>
      <c r="I41" s="5">
        <f t="shared" si="6"/>
        <v>18.909710391822827</v>
      </c>
      <c r="J41" s="5">
        <f t="shared" si="4"/>
        <v>14.705882352941179</v>
      </c>
      <c r="K41" s="5">
        <f t="shared" si="5"/>
        <v>33.615592744764008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40" x14ac:dyDescent="0.2">
      <c r="A42" s="9" t="s">
        <v>79</v>
      </c>
      <c r="B42" s="5">
        <v>1.57</v>
      </c>
      <c r="C42" s="5">
        <v>0.06</v>
      </c>
      <c r="D42" s="4">
        <v>140</v>
      </c>
      <c r="E42" s="4">
        <v>1</v>
      </c>
      <c r="F42" s="6">
        <v>0.58699999999999997</v>
      </c>
      <c r="G42" s="6">
        <v>0.45300000000000001</v>
      </c>
      <c r="H42" s="6">
        <v>0.38600000000000001</v>
      </c>
      <c r="I42" s="5">
        <f t="shared" si="6"/>
        <v>22.827938671209534</v>
      </c>
      <c r="J42" s="5">
        <f t="shared" si="4"/>
        <v>14.790286975717439</v>
      </c>
      <c r="K42" s="5">
        <f t="shared" si="5"/>
        <v>37.618225646926973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40" x14ac:dyDescent="0.2">
      <c r="A43" s="9"/>
      <c r="B43" s="5">
        <v>1.57</v>
      </c>
      <c r="C43" s="5">
        <v>0.06</v>
      </c>
      <c r="D43" s="4">
        <v>140</v>
      </c>
      <c r="E43" s="4">
        <v>2</v>
      </c>
      <c r="F43" s="6">
        <v>0.58699999999999997</v>
      </c>
      <c r="G43" s="6">
        <v>0.45500000000000002</v>
      </c>
      <c r="H43" s="6">
        <v>0.38700000000000001</v>
      </c>
      <c r="I43" s="5">
        <f t="shared" si="6"/>
        <v>22.487223168654165</v>
      </c>
      <c r="J43" s="5">
        <f t="shared" si="4"/>
        <v>14.945054945054945</v>
      </c>
      <c r="K43" s="5">
        <f t="shared" si="5"/>
        <v>37.43227811370911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40" x14ac:dyDescent="0.2">
      <c r="A44" s="9"/>
      <c r="B44" s="5">
        <v>1.57</v>
      </c>
      <c r="C44" s="5">
        <v>0.06</v>
      </c>
      <c r="D44" s="4">
        <v>140</v>
      </c>
      <c r="E44" s="4">
        <v>3</v>
      </c>
      <c r="F44" s="6">
        <v>0.58699999999999997</v>
      </c>
      <c r="G44" s="6">
        <v>0.45500000000000002</v>
      </c>
      <c r="H44" s="6">
        <v>0.38600000000000001</v>
      </c>
      <c r="I44" s="5">
        <f t="shared" si="6"/>
        <v>22.487223168654165</v>
      </c>
      <c r="J44" s="5">
        <f t="shared" si="4"/>
        <v>15.164835164835166</v>
      </c>
      <c r="K44" s="5">
        <f t="shared" si="5"/>
        <v>37.652058333489329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40" x14ac:dyDescent="0.2">
      <c r="A45" s="9"/>
      <c r="B45" s="5">
        <v>1.57</v>
      </c>
      <c r="C45" s="5">
        <v>0.06</v>
      </c>
      <c r="D45" s="4">
        <v>140</v>
      </c>
      <c r="E45" s="4" t="s">
        <v>33</v>
      </c>
      <c r="F45" s="6">
        <v>0.58699999999999997</v>
      </c>
      <c r="G45" s="6">
        <v>0.45500000000000002</v>
      </c>
      <c r="H45" s="6">
        <v>0.38633333333333336</v>
      </c>
      <c r="I45" s="5">
        <f t="shared" si="6"/>
        <v>22.487223168654165</v>
      </c>
      <c r="J45" s="5">
        <f t="shared" si="4"/>
        <v>15.091575091575088</v>
      </c>
      <c r="K45" s="5">
        <f t="shared" si="5"/>
        <v>37.578798260229249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40" x14ac:dyDescent="0.2">
      <c r="A46" s="9" t="s">
        <v>80</v>
      </c>
      <c r="B46" s="5">
        <v>1.57</v>
      </c>
      <c r="C46" s="5">
        <v>0.08</v>
      </c>
      <c r="D46" s="4">
        <v>140</v>
      </c>
      <c r="E46" s="4">
        <v>1</v>
      </c>
      <c r="F46" s="6">
        <v>0.58699999999999997</v>
      </c>
      <c r="G46" s="6">
        <v>0.437</v>
      </c>
      <c r="H46" s="6">
        <v>0.37</v>
      </c>
      <c r="I46" s="5">
        <f t="shared" si="6"/>
        <v>25.55366269165247</v>
      </c>
      <c r="J46" s="5">
        <f t="shared" si="4"/>
        <v>15.331807780320366</v>
      </c>
      <c r="K46" s="5">
        <f t="shared" si="5"/>
        <v>40.885470471972837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40" x14ac:dyDescent="0.2">
      <c r="A47" s="9"/>
      <c r="B47" s="5">
        <v>1.57</v>
      </c>
      <c r="C47" s="5">
        <v>0.08</v>
      </c>
      <c r="D47" s="4">
        <v>140</v>
      </c>
      <c r="E47" s="4">
        <v>2</v>
      </c>
      <c r="F47" s="6">
        <v>0.58699999999999997</v>
      </c>
      <c r="G47" s="6">
        <v>0.439</v>
      </c>
      <c r="H47" s="6">
        <v>0.371</v>
      </c>
      <c r="I47" s="5">
        <f t="shared" si="6"/>
        <v>25.2129471890971</v>
      </c>
      <c r="J47" s="5">
        <f t="shared" si="4"/>
        <v>15.489749430523919</v>
      </c>
      <c r="K47" s="5">
        <f t="shared" si="5"/>
        <v>40.702696619621022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40" x14ac:dyDescent="0.2">
      <c r="A48" s="9"/>
      <c r="B48" s="5">
        <v>1.57</v>
      </c>
      <c r="C48" s="5">
        <v>0.08</v>
      </c>
      <c r="D48" s="4">
        <v>140</v>
      </c>
      <c r="E48" s="4">
        <v>3</v>
      </c>
      <c r="F48" s="6">
        <v>0.58699999999999997</v>
      </c>
      <c r="G48" s="6">
        <v>0.436</v>
      </c>
      <c r="H48" s="6">
        <v>0.372</v>
      </c>
      <c r="I48" s="5">
        <f t="shared" si="6"/>
        <v>25.724020442930151</v>
      </c>
      <c r="J48" s="5">
        <f t="shared" si="4"/>
        <v>14.678899082568808</v>
      </c>
      <c r="K48" s="5">
        <f t="shared" si="5"/>
        <v>40.402919525498959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31" x14ac:dyDescent="0.2">
      <c r="A49" s="9"/>
      <c r="B49" s="5">
        <v>1.57</v>
      </c>
      <c r="C49" s="5">
        <v>0.08</v>
      </c>
      <c r="D49" s="4">
        <v>140</v>
      </c>
      <c r="E49" s="4" t="s">
        <v>33</v>
      </c>
      <c r="F49" s="6">
        <v>0.58699999999999997</v>
      </c>
      <c r="G49" s="6">
        <v>0.437</v>
      </c>
      <c r="H49" s="6">
        <v>0.371</v>
      </c>
      <c r="I49" s="5">
        <f t="shared" si="6"/>
        <v>25.55366269165247</v>
      </c>
      <c r="J49" s="5">
        <f t="shared" si="4"/>
        <v>15.102974828375288</v>
      </c>
      <c r="K49" s="5">
        <f t="shared" si="5"/>
        <v>40.656637520027758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31" x14ac:dyDescent="0.2">
      <c r="G50" s="3"/>
    </row>
    <row r="52" spans="1:31" x14ac:dyDescent="0.2">
      <c r="A52" s="8" t="s">
        <v>34</v>
      </c>
    </row>
    <row r="53" spans="1:31" x14ac:dyDescent="0.2">
      <c r="A53" s="4" t="s">
        <v>25</v>
      </c>
      <c r="B53" s="4" t="s">
        <v>26</v>
      </c>
      <c r="C53" s="4" t="s">
        <v>27</v>
      </c>
      <c r="D53" s="4" t="s">
        <v>28</v>
      </c>
      <c r="E53" s="4" t="s">
        <v>29</v>
      </c>
      <c r="F53" s="4" t="s">
        <v>30</v>
      </c>
      <c r="G53" s="4" t="s">
        <v>31</v>
      </c>
      <c r="H53" s="4" t="s">
        <v>35</v>
      </c>
      <c r="I53" s="4" t="s">
        <v>36</v>
      </c>
      <c r="J53" s="4" t="s">
        <v>37</v>
      </c>
      <c r="K53" s="4" t="s">
        <v>32</v>
      </c>
      <c r="L53" s="4" t="s">
        <v>38</v>
      </c>
      <c r="M53" s="4" t="s">
        <v>8</v>
      </c>
      <c r="N53" s="4" t="s">
        <v>54</v>
      </c>
      <c r="O53" s="4" t="s">
        <v>55</v>
      </c>
      <c r="P53" s="4" t="s">
        <v>56</v>
      </c>
      <c r="Q53" s="4" t="s">
        <v>57</v>
      </c>
      <c r="R53" s="4" t="s">
        <v>9</v>
      </c>
      <c r="S53" s="4" t="s">
        <v>10</v>
      </c>
      <c r="T53" s="4" t="s">
        <v>11</v>
      </c>
      <c r="U53" s="4" t="s">
        <v>12</v>
      </c>
      <c r="V53" s="4" t="s">
        <v>13</v>
      </c>
      <c r="W53" s="4" t="s">
        <v>14</v>
      </c>
      <c r="X53" s="4" t="s">
        <v>15</v>
      </c>
      <c r="Y53" s="4" t="s">
        <v>16</v>
      </c>
      <c r="Z53" s="4" t="s">
        <v>17</v>
      </c>
      <c r="AA53" s="11" t="s">
        <v>18</v>
      </c>
      <c r="AB53" s="11" t="s">
        <v>19</v>
      </c>
      <c r="AC53" s="11" t="s">
        <v>20</v>
      </c>
      <c r="AD53" s="11" t="s">
        <v>21</v>
      </c>
      <c r="AE53" s="11" t="s">
        <v>22</v>
      </c>
    </row>
    <row r="54" spans="1:31" x14ac:dyDescent="0.2">
      <c r="A54" s="4" t="s">
        <v>61</v>
      </c>
      <c r="B54" s="5">
        <v>1.57</v>
      </c>
      <c r="C54" s="5">
        <v>7.1999999999999995E-2</v>
      </c>
      <c r="D54" s="4">
        <v>140</v>
      </c>
      <c r="E54" s="4">
        <v>1</v>
      </c>
      <c r="F54" s="6">
        <v>0.54200000000000004</v>
      </c>
      <c r="G54" s="6">
        <v>0.46600000000000003</v>
      </c>
      <c r="H54" s="6">
        <v>0.45300000000000001</v>
      </c>
      <c r="I54" s="6">
        <v>0.42699999999999999</v>
      </c>
      <c r="J54" s="6">
        <v>0.40699999999999997</v>
      </c>
      <c r="K54" s="6">
        <v>0.379</v>
      </c>
      <c r="L54" s="4" t="s">
        <v>39</v>
      </c>
      <c r="M54" s="6">
        <f>((F54-G54)/F54)*100</f>
        <v>14.022140221402216</v>
      </c>
      <c r="N54" s="6">
        <f>((G54-K54)/G54)*100</f>
        <v>18.66952789699571</v>
      </c>
      <c r="O54" s="6">
        <f>((G54-J54)/G54)*100</f>
        <v>12.660944206008596</v>
      </c>
      <c r="P54" s="4">
        <f>((G54-I54)/G54)*100</f>
        <v>8.3690987124463589</v>
      </c>
      <c r="Q54" s="4">
        <f>((G54-H54)/G54)*100</f>
        <v>2.7896995708154528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x14ac:dyDescent="0.2">
      <c r="A55" s="4"/>
      <c r="B55" s="5">
        <v>1.57</v>
      </c>
      <c r="C55" s="5">
        <v>7.1999999999999995E-2</v>
      </c>
      <c r="D55" s="4">
        <v>140</v>
      </c>
      <c r="E55" s="4">
        <v>2</v>
      </c>
      <c r="F55" s="6">
        <v>0.54233333333333333</v>
      </c>
      <c r="G55" s="6">
        <v>0.46700000000000003</v>
      </c>
      <c r="H55" s="6">
        <v>0.45</v>
      </c>
      <c r="I55" s="6">
        <v>0.42499999999999999</v>
      </c>
      <c r="J55" s="6">
        <v>0.40799999999999997</v>
      </c>
      <c r="K55" s="6">
        <v>0.378</v>
      </c>
      <c r="L55" s="4" t="s">
        <v>39</v>
      </c>
      <c r="M55" s="6">
        <f t="shared" ref="M55:M77" si="7">((F55-G55)/F55)*100</f>
        <v>13.890596189305466</v>
      </c>
      <c r="N55" s="6">
        <f t="shared" ref="N55:N77" si="8">((G55-K55)/G55)*100</f>
        <v>19.057815845824415</v>
      </c>
      <c r="O55" s="6">
        <f t="shared" ref="O55:O77" si="9">((G55-J55)/G55)*100</f>
        <v>12.633832976445406</v>
      </c>
      <c r="P55" s="4">
        <f t="shared" ref="P55:P77" si="10">((G55-I55)/G55)*100</f>
        <v>8.9935760171306285</v>
      </c>
      <c r="Q55" s="4">
        <f t="shared" ref="Q55:Q77" si="11">((G55-H55)/G55)*100</f>
        <v>3.6402569593147782</v>
      </c>
      <c r="R55" s="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x14ac:dyDescent="0.2">
      <c r="A56" s="4"/>
      <c r="B56" s="5">
        <v>1.57</v>
      </c>
      <c r="C56" s="5">
        <v>7.1999999999999995E-2</v>
      </c>
      <c r="D56" s="4">
        <v>140</v>
      </c>
      <c r="E56" s="4">
        <v>3</v>
      </c>
      <c r="F56" s="6">
        <v>0.54233333333333333</v>
      </c>
      <c r="G56" s="6">
        <v>0.46500000000000002</v>
      </c>
      <c r="H56" s="6">
        <v>0.45</v>
      </c>
      <c r="I56" s="6">
        <v>0.42399999999999999</v>
      </c>
      <c r="J56" s="6">
        <v>0.40899999999999997</v>
      </c>
      <c r="K56" s="6">
        <v>0.378</v>
      </c>
      <c r="L56" s="4" t="s">
        <v>39</v>
      </c>
      <c r="M56" s="6">
        <f t="shared" si="7"/>
        <v>14.259373079287027</v>
      </c>
      <c r="N56" s="6">
        <f t="shared" si="8"/>
        <v>18.709677419354843</v>
      </c>
      <c r="O56" s="6">
        <f t="shared" si="9"/>
        <v>12.043010752688183</v>
      </c>
      <c r="P56" s="4">
        <f t="shared" si="10"/>
        <v>8.817204301075277</v>
      </c>
      <c r="Q56" s="4">
        <f t="shared" si="11"/>
        <v>3.2258064516129057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x14ac:dyDescent="0.2">
      <c r="A57" s="4"/>
      <c r="B57" s="5">
        <v>1.57</v>
      </c>
      <c r="C57" s="5">
        <v>7.1999999999999995E-2</v>
      </c>
      <c r="D57" s="4">
        <v>140</v>
      </c>
      <c r="E57" s="4" t="s">
        <v>33</v>
      </c>
      <c r="F57" s="6">
        <v>0.54233333333333333</v>
      </c>
      <c r="G57" s="6">
        <f>AVERAGE(G54:G56)</f>
        <v>0.46600000000000003</v>
      </c>
      <c r="H57" s="6">
        <v>0.45100000000000001</v>
      </c>
      <c r="I57" s="6">
        <v>0.42533333333333334</v>
      </c>
      <c r="J57" s="6">
        <v>0.40799999999999997</v>
      </c>
      <c r="K57" s="6">
        <v>0.37833333333333335</v>
      </c>
      <c r="L57" s="4" t="s">
        <v>39</v>
      </c>
      <c r="M57" s="6">
        <f t="shared" si="7"/>
        <v>14.074984634296248</v>
      </c>
      <c r="N57" s="6">
        <f t="shared" si="8"/>
        <v>18.812589413447782</v>
      </c>
      <c r="O57" s="6">
        <f t="shared" si="9"/>
        <v>12.446351931330483</v>
      </c>
      <c r="P57" s="4">
        <f t="shared" si="10"/>
        <v>8.7267525035765416</v>
      </c>
      <c r="Q57" s="4">
        <f t="shared" si="11"/>
        <v>3.2188841201716762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x14ac:dyDescent="0.2">
      <c r="A58" s="4" t="s">
        <v>62</v>
      </c>
      <c r="B58" s="5">
        <v>1.57</v>
      </c>
      <c r="C58" s="5">
        <v>7.1999999999999995E-2</v>
      </c>
      <c r="D58" s="4">
        <v>140</v>
      </c>
      <c r="E58" s="4">
        <v>1</v>
      </c>
      <c r="F58" s="6">
        <v>0.54233333333333333</v>
      </c>
      <c r="G58" s="6">
        <v>0.49099999999999999</v>
      </c>
      <c r="H58" s="6">
        <v>0.46</v>
      </c>
      <c r="I58" s="6">
        <v>0.432</v>
      </c>
      <c r="J58" s="6">
        <v>0.41899999999999998</v>
      </c>
      <c r="K58" s="6">
        <v>0.4</v>
      </c>
      <c r="L58" s="4" t="s">
        <v>40</v>
      </c>
      <c r="M58" s="6">
        <f t="shared" si="7"/>
        <v>9.4652735095267371</v>
      </c>
      <c r="N58" s="6">
        <f t="shared" si="8"/>
        <v>18.533604887983699</v>
      </c>
      <c r="O58" s="6">
        <f t="shared" si="9"/>
        <v>14.663951120162935</v>
      </c>
      <c r="P58" s="4">
        <f t="shared" si="10"/>
        <v>12.016293279022403</v>
      </c>
      <c r="Q58" s="4">
        <f t="shared" si="11"/>
        <v>6.3136456211812577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x14ac:dyDescent="0.2">
      <c r="A59" s="4"/>
      <c r="B59" s="5">
        <v>1.57</v>
      </c>
      <c r="C59" s="5">
        <v>7.1999999999999995E-2</v>
      </c>
      <c r="D59" s="4">
        <v>140</v>
      </c>
      <c r="E59" s="4">
        <v>2</v>
      </c>
      <c r="F59" s="6">
        <v>0.54233333333333333</v>
      </c>
      <c r="G59" s="6">
        <v>0.49</v>
      </c>
      <c r="H59" s="6">
        <v>0.45900000000000002</v>
      </c>
      <c r="I59" s="6">
        <v>0.432</v>
      </c>
      <c r="J59" s="6">
        <v>0.41799999999999998</v>
      </c>
      <c r="K59" s="6">
        <v>0.4</v>
      </c>
      <c r="L59" s="4" t="s">
        <v>40</v>
      </c>
      <c r="M59" s="6">
        <f t="shared" si="7"/>
        <v>9.6496619545175193</v>
      </c>
      <c r="N59" s="6">
        <f t="shared" si="8"/>
        <v>18.367346938775501</v>
      </c>
      <c r="O59" s="6">
        <f t="shared" si="9"/>
        <v>14.69387755102041</v>
      </c>
      <c r="P59" s="4">
        <f t="shared" si="10"/>
        <v>11.836734693877551</v>
      </c>
      <c r="Q59" s="4">
        <f t="shared" si="11"/>
        <v>6.3265306122448921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x14ac:dyDescent="0.2">
      <c r="A60" s="4"/>
      <c r="B60" s="5">
        <v>1.57</v>
      </c>
      <c r="C60" s="5">
        <v>7.1999999999999995E-2</v>
      </c>
      <c r="D60" s="4">
        <v>140</v>
      </c>
      <c r="E60" s="4">
        <v>3</v>
      </c>
      <c r="F60" s="6">
        <v>0.54233333333333333</v>
      </c>
      <c r="G60" s="6">
        <v>0.48899999999999999</v>
      </c>
      <c r="H60" s="6">
        <v>0.45900000000000002</v>
      </c>
      <c r="I60" s="6">
        <v>0.433</v>
      </c>
      <c r="J60" s="6">
        <v>0.41699999999999998</v>
      </c>
      <c r="K60" s="6">
        <v>0.4</v>
      </c>
      <c r="L60" s="4" t="s">
        <v>40</v>
      </c>
      <c r="M60" s="6">
        <f t="shared" si="7"/>
        <v>9.8340503995082997</v>
      </c>
      <c r="N60" s="6">
        <f t="shared" si="8"/>
        <v>18.200408997955002</v>
      </c>
      <c r="O60" s="6">
        <f t="shared" si="9"/>
        <v>14.723926380368098</v>
      </c>
      <c r="P60" s="4">
        <f t="shared" si="10"/>
        <v>11.451942740286297</v>
      </c>
      <c r="Q60" s="4">
        <f t="shared" si="11"/>
        <v>6.134969325153369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x14ac:dyDescent="0.2">
      <c r="A61" s="4"/>
      <c r="B61" s="5">
        <v>1.57</v>
      </c>
      <c r="C61" s="5">
        <v>7.1999999999999995E-2</v>
      </c>
      <c r="D61" s="4">
        <v>140</v>
      </c>
      <c r="E61" s="4" t="s">
        <v>33</v>
      </c>
      <c r="F61" s="6">
        <v>0.54233333333333333</v>
      </c>
      <c r="G61" s="6">
        <v>0.49</v>
      </c>
      <c r="H61" s="6">
        <v>0.45933333333333337</v>
      </c>
      <c r="I61" s="6">
        <v>0.43233333333333329</v>
      </c>
      <c r="J61" s="6">
        <v>0.41799999999999998</v>
      </c>
      <c r="K61" s="6">
        <v>0.40000000000000008</v>
      </c>
      <c r="L61" s="4" t="s">
        <v>40</v>
      </c>
      <c r="M61" s="6">
        <f t="shared" si="7"/>
        <v>9.6496619545175193</v>
      </c>
      <c r="N61" s="6">
        <f t="shared" si="8"/>
        <v>18.367346938775491</v>
      </c>
      <c r="O61" s="6">
        <f t="shared" si="9"/>
        <v>14.69387755102041</v>
      </c>
      <c r="P61" s="4">
        <f t="shared" si="10"/>
        <v>11.768707482993204</v>
      </c>
      <c r="Q61" s="4">
        <f t="shared" si="11"/>
        <v>6.2585034013605352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x14ac:dyDescent="0.2">
      <c r="A62" s="4" t="s">
        <v>63</v>
      </c>
      <c r="B62" s="4">
        <v>0</v>
      </c>
      <c r="C62" s="4">
        <v>0</v>
      </c>
      <c r="D62" s="4">
        <v>0</v>
      </c>
      <c r="E62" s="4">
        <v>1</v>
      </c>
      <c r="F62" s="6">
        <v>0.54233333333333333</v>
      </c>
      <c r="G62" s="6">
        <v>0.47299999999999998</v>
      </c>
      <c r="H62" s="6">
        <v>0.45100000000000001</v>
      </c>
      <c r="I62" s="6">
        <v>0.438</v>
      </c>
      <c r="J62" s="6">
        <v>0.41599999999999998</v>
      </c>
      <c r="K62" s="6">
        <v>0.40699999999999997</v>
      </c>
      <c r="L62" s="4" t="s">
        <v>41</v>
      </c>
      <c r="M62" s="6">
        <f t="shared" si="7"/>
        <v>12.78426551936079</v>
      </c>
      <c r="N62" s="6">
        <f t="shared" si="8"/>
        <v>13.953488372093027</v>
      </c>
      <c r="O62" s="6">
        <f t="shared" si="9"/>
        <v>12.050739957716701</v>
      </c>
      <c r="P62" s="4">
        <f t="shared" si="10"/>
        <v>7.3995771670190225</v>
      </c>
      <c r="Q62" s="4">
        <f t="shared" si="11"/>
        <v>4.6511627906976667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x14ac:dyDescent="0.2">
      <c r="A63" s="4"/>
      <c r="B63" s="4">
        <v>0</v>
      </c>
      <c r="C63" s="4">
        <v>0</v>
      </c>
      <c r="D63" s="4">
        <v>0</v>
      </c>
      <c r="E63" s="4">
        <v>2</v>
      </c>
      <c r="F63" s="6">
        <v>0.54233333333333333</v>
      </c>
      <c r="G63" s="6">
        <v>0.47399999999999998</v>
      </c>
      <c r="H63" s="6">
        <v>0.45</v>
      </c>
      <c r="I63" s="6">
        <v>0.438</v>
      </c>
      <c r="J63" s="6">
        <v>0.41699999999999998</v>
      </c>
      <c r="K63" s="6">
        <v>0.40899999999999997</v>
      </c>
      <c r="L63" s="4" t="s">
        <v>41</v>
      </c>
      <c r="M63" s="6">
        <f t="shared" si="7"/>
        <v>12.599877074370012</v>
      </c>
      <c r="N63" s="6">
        <f t="shared" si="8"/>
        <v>13.713080168776374</v>
      </c>
      <c r="O63" s="6">
        <f t="shared" si="9"/>
        <v>12.025316455696203</v>
      </c>
      <c r="P63" s="4">
        <f t="shared" si="10"/>
        <v>7.5949367088607556</v>
      </c>
      <c r="Q63" s="4">
        <f t="shared" si="11"/>
        <v>5.0632911392404996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x14ac:dyDescent="0.2">
      <c r="A64" s="4"/>
      <c r="B64" s="4">
        <v>0</v>
      </c>
      <c r="C64" s="4">
        <v>0</v>
      </c>
      <c r="D64" s="4">
        <v>0</v>
      </c>
      <c r="E64" s="4">
        <v>3</v>
      </c>
      <c r="F64" s="6">
        <v>0.54233333333333333</v>
      </c>
      <c r="G64" s="6">
        <v>0.47499999999999998</v>
      </c>
      <c r="H64" s="6">
        <v>0.45900000000000002</v>
      </c>
      <c r="I64" s="6">
        <v>0.438</v>
      </c>
      <c r="J64" s="6">
        <v>0.41699999999999998</v>
      </c>
      <c r="K64" s="6">
        <v>0.40699999999999997</v>
      </c>
      <c r="L64" s="4" t="s">
        <v>41</v>
      </c>
      <c r="M64" s="6">
        <f t="shared" si="7"/>
        <v>12.415488629379229</v>
      </c>
      <c r="N64" s="6">
        <f t="shared" si="8"/>
        <v>14.315789473684212</v>
      </c>
      <c r="O64" s="6">
        <f t="shared" si="9"/>
        <v>12.210526315789473</v>
      </c>
      <c r="P64" s="4">
        <f t="shared" si="10"/>
        <v>7.7894736842105221</v>
      </c>
      <c r="Q64" s="4">
        <f t="shared" si="11"/>
        <v>3.3684210526315708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x14ac:dyDescent="0.2">
      <c r="A65" s="4"/>
      <c r="B65" s="4">
        <v>0</v>
      </c>
      <c r="C65" s="4">
        <v>0</v>
      </c>
      <c r="D65" s="4">
        <v>0</v>
      </c>
      <c r="E65" s="4" t="s">
        <v>33</v>
      </c>
      <c r="F65" s="6">
        <v>0.54233333333333333</v>
      </c>
      <c r="G65" s="6">
        <v>0.47399999999999998</v>
      </c>
      <c r="H65" s="6">
        <f>AVERAGE(H62:H64)</f>
        <v>0.45333333333333337</v>
      </c>
      <c r="I65" s="6">
        <f t="shared" ref="I65:K65" si="12">AVERAGE(I62:I64)</f>
        <v>0.438</v>
      </c>
      <c r="J65" s="6">
        <f t="shared" si="12"/>
        <v>0.41666666666666669</v>
      </c>
      <c r="K65" s="6">
        <f t="shared" si="12"/>
        <v>0.40766666666666662</v>
      </c>
      <c r="L65" s="4" t="s">
        <v>41</v>
      </c>
      <c r="M65" s="6">
        <f t="shared" si="7"/>
        <v>12.599877074370012</v>
      </c>
      <c r="N65" s="6">
        <f t="shared" si="8"/>
        <v>13.994374120956405</v>
      </c>
      <c r="O65" s="6">
        <f t="shared" si="9"/>
        <v>12.095639943741201</v>
      </c>
      <c r="P65" s="4">
        <f t="shared" si="10"/>
        <v>7.5949367088607556</v>
      </c>
      <c r="Q65" s="4">
        <f t="shared" si="11"/>
        <v>4.3600562587904239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x14ac:dyDescent="0.2">
      <c r="A66" s="4" t="s">
        <v>64</v>
      </c>
      <c r="B66" s="5">
        <v>1.57</v>
      </c>
      <c r="C66" s="5">
        <v>0</v>
      </c>
      <c r="D66" s="4">
        <v>140</v>
      </c>
      <c r="E66" s="4">
        <v>1</v>
      </c>
      <c r="F66" s="6">
        <v>0.54233333333333333</v>
      </c>
      <c r="G66" s="6">
        <v>0.46100000000000002</v>
      </c>
      <c r="H66" s="6">
        <v>0.44500000000000001</v>
      </c>
      <c r="I66" s="6">
        <v>0.42099999999999999</v>
      </c>
      <c r="J66" s="6">
        <v>0.40300000000000002</v>
      </c>
      <c r="K66" s="6">
        <v>0.377</v>
      </c>
      <c r="L66" s="4" t="s">
        <v>42</v>
      </c>
      <c r="M66" s="6">
        <f t="shared" si="7"/>
        <v>14.99692685925015</v>
      </c>
      <c r="N66" s="6">
        <f t="shared" si="8"/>
        <v>18.221258134490242</v>
      </c>
      <c r="O66" s="6">
        <f t="shared" si="9"/>
        <v>12.581344902386116</v>
      </c>
      <c r="P66" s="4">
        <f t="shared" si="10"/>
        <v>8.6767895878525021</v>
      </c>
      <c r="Q66" s="4">
        <f t="shared" si="11"/>
        <v>3.4707158351410006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x14ac:dyDescent="0.2">
      <c r="A67" s="4"/>
      <c r="B67" s="5">
        <v>1.57</v>
      </c>
      <c r="C67" s="5">
        <v>0</v>
      </c>
      <c r="D67" s="4">
        <v>140</v>
      </c>
      <c r="E67" s="4">
        <v>2</v>
      </c>
      <c r="F67" s="6">
        <v>0.54233333333333333</v>
      </c>
      <c r="G67" s="6">
        <v>0.46200000000000002</v>
      </c>
      <c r="H67" s="6">
        <v>0.44400000000000001</v>
      </c>
      <c r="I67" s="6">
        <v>0.42</v>
      </c>
      <c r="J67" s="6">
        <v>0.40500000000000003</v>
      </c>
      <c r="K67" s="6">
        <v>0.37</v>
      </c>
      <c r="L67" s="4" t="s">
        <v>42</v>
      </c>
      <c r="M67" s="6">
        <f t="shared" si="7"/>
        <v>14.812538414259368</v>
      </c>
      <c r="N67" s="6">
        <f t="shared" si="8"/>
        <v>19.913419913419919</v>
      </c>
      <c r="O67" s="6">
        <f t="shared" si="9"/>
        <v>12.337662337662337</v>
      </c>
      <c r="P67" s="4">
        <f t="shared" si="10"/>
        <v>9.0909090909090988</v>
      </c>
      <c r="Q67" s="4">
        <f t="shared" si="11"/>
        <v>3.8961038961038996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x14ac:dyDescent="0.2">
      <c r="A68" s="4"/>
      <c r="B68" s="5">
        <v>1.57</v>
      </c>
      <c r="C68" s="5">
        <v>0</v>
      </c>
      <c r="D68" s="4">
        <v>140</v>
      </c>
      <c r="E68" s="4">
        <v>3</v>
      </c>
      <c r="F68" s="6">
        <v>0.54233333333333333</v>
      </c>
      <c r="G68" s="6">
        <v>0.46200000000000002</v>
      </c>
      <c r="H68" s="6">
        <v>0.44400000000000001</v>
      </c>
      <c r="I68" s="6">
        <v>0.42</v>
      </c>
      <c r="J68" s="6">
        <v>0.40500000000000003</v>
      </c>
      <c r="K68" s="6">
        <v>0.375</v>
      </c>
      <c r="L68" s="4" t="s">
        <v>42</v>
      </c>
      <c r="M68" s="6">
        <f t="shared" si="7"/>
        <v>14.812538414259368</v>
      </c>
      <c r="N68" s="6">
        <f t="shared" si="8"/>
        <v>18.831168831168835</v>
      </c>
      <c r="O68" s="6">
        <f t="shared" si="9"/>
        <v>12.337662337662337</v>
      </c>
      <c r="P68" s="4">
        <f t="shared" si="10"/>
        <v>9.0909090909090988</v>
      </c>
      <c r="Q68" s="4">
        <f t="shared" si="11"/>
        <v>3.8961038961038996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2">
      <c r="A69" s="4"/>
      <c r="B69" s="5">
        <v>1.57</v>
      </c>
      <c r="C69" s="5">
        <v>0</v>
      </c>
      <c r="D69" s="4">
        <v>140</v>
      </c>
      <c r="E69" s="4" t="s">
        <v>33</v>
      </c>
      <c r="F69" s="6">
        <v>0.54233333333333333</v>
      </c>
      <c r="G69" s="6">
        <v>0.46166666666666667</v>
      </c>
      <c r="H69" s="6">
        <f>AVERAGE(H66:H68)</f>
        <v>0.4443333333333333</v>
      </c>
      <c r="I69" s="6">
        <f t="shared" ref="I69:K69" si="13">AVERAGE(I66:I68)</f>
        <v>0.42033333333333328</v>
      </c>
      <c r="J69" s="6">
        <f t="shared" si="13"/>
        <v>0.40433333333333338</v>
      </c>
      <c r="K69" s="6">
        <f t="shared" si="13"/>
        <v>0.37399999999999994</v>
      </c>
      <c r="L69" s="4" t="s">
        <v>42</v>
      </c>
      <c r="M69" s="6">
        <f t="shared" si="7"/>
        <v>14.874001229256301</v>
      </c>
      <c r="N69" s="6">
        <f t="shared" si="8"/>
        <v>18.989169675090263</v>
      </c>
      <c r="O69" s="6">
        <f t="shared" si="9"/>
        <v>12.418772563176885</v>
      </c>
      <c r="P69" s="4">
        <f t="shared" si="10"/>
        <v>8.9530685920577735</v>
      </c>
      <c r="Q69" s="4">
        <f t="shared" si="11"/>
        <v>3.754512635379069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x14ac:dyDescent="0.2">
      <c r="A70" s="4" t="s">
        <v>65</v>
      </c>
      <c r="B70" s="5">
        <v>0</v>
      </c>
      <c r="C70" s="5">
        <v>7.1999999999999995E-2</v>
      </c>
      <c r="D70" s="4">
        <v>140</v>
      </c>
      <c r="E70" s="4">
        <v>1</v>
      </c>
      <c r="F70" s="6">
        <v>0.54233333333333333</v>
      </c>
      <c r="G70" s="6">
        <v>0.47699999999999998</v>
      </c>
      <c r="H70" s="6">
        <v>0.45600000000000002</v>
      </c>
      <c r="I70" s="6">
        <v>0.435</v>
      </c>
      <c r="J70" s="6">
        <v>0.41499999999999998</v>
      </c>
      <c r="K70" s="6">
        <v>0.38400000000000001</v>
      </c>
      <c r="L70" s="4" t="s">
        <v>43</v>
      </c>
      <c r="M70" s="6">
        <f t="shared" si="7"/>
        <v>12.046711739397669</v>
      </c>
      <c r="N70" s="6">
        <f t="shared" si="8"/>
        <v>19.496855345911946</v>
      </c>
      <c r="O70" s="6">
        <f t="shared" si="9"/>
        <v>12.997903563941302</v>
      </c>
      <c r="P70" s="4">
        <f t="shared" si="10"/>
        <v>8.8050314465408768</v>
      </c>
      <c r="Q70" s="4">
        <f t="shared" si="11"/>
        <v>4.4025157232704331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x14ac:dyDescent="0.2">
      <c r="A71" s="4"/>
      <c r="B71" s="5">
        <v>0</v>
      </c>
      <c r="C71" s="5">
        <v>7.1999999999999995E-2</v>
      </c>
      <c r="D71" s="4">
        <v>140</v>
      </c>
      <c r="E71" s="4">
        <v>2</v>
      </c>
      <c r="F71" s="6">
        <v>0.54233333333333333</v>
      </c>
      <c r="G71" s="6">
        <v>0.47599999999999998</v>
      </c>
      <c r="H71" s="6">
        <v>0.45600000000000002</v>
      </c>
      <c r="I71" s="6">
        <v>0.436</v>
      </c>
      <c r="J71" s="6">
        <v>0.41499999999999998</v>
      </c>
      <c r="K71" s="6">
        <v>0.38800000000000001</v>
      </c>
      <c r="L71" s="4" t="s">
        <v>43</v>
      </c>
      <c r="M71" s="6">
        <f t="shared" si="7"/>
        <v>12.231100184388449</v>
      </c>
      <c r="N71" s="6">
        <f t="shared" si="8"/>
        <v>18.487394957983184</v>
      </c>
      <c r="O71" s="6">
        <f t="shared" si="9"/>
        <v>12.815126050420171</v>
      </c>
      <c r="P71" s="4">
        <f t="shared" si="10"/>
        <v>8.4033613445378119</v>
      </c>
      <c r="Q71" s="4">
        <f t="shared" si="11"/>
        <v>4.2016806722688997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x14ac:dyDescent="0.2">
      <c r="A72" s="4"/>
      <c r="B72" s="5">
        <v>0</v>
      </c>
      <c r="C72" s="5">
        <v>7.1999999999999995E-2</v>
      </c>
      <c r="D72" s="4">
        <v>140</v>
      </c>
      <c r="E72" s="4">
        <v>3</v>
      </c>
      <c r="F72" s="6">
        <v>0.54233333333333333</v>
      </c>
      <c r="G72" s="6">
        <v>0.47799999999999998</v>
      </c>
      <c r="H72" s="6">
        <v>0.45600000000000002</v>
      </c>
      <c r="I72" s="6">
        <v>0.436</v>
      </c>
      <c r="J72" s="6">
        <v>0.41599999999999998</v>
      </c>
      <c r="K72" s="6">
        <v>0.38800000000000001</v>
      </c>
      <c r="L72" s="4" t="s">
        <v>43</v>
      </c>
      <c r="M72" s="6">
        <f t="shared" si="7"/>
        <v>11.862323294406888</v>
      </c>
      <c r="N72" s="6">
        <f t="shared" si="8"/>
        <v>18.828451882845183</v>
      </c>
      <c r="O72" s="6">
        <f t="shared" si="9"/>
        <v>12.97071129707113</v>
      </c>
      <c r="P72" s="4">
        <f t="shared" si="10"/>
        <v>8.7866108786610848</v>
      </c>
      <c r="Q72" s="4">
        <f t="shared" si="11"/>
        <v>4.6025104602510387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2">
      <c r="A73" s="4"/>
      <c r="B73" s="5">
        <v>0</v>
      </c>
      <c r="C73" s="5">
        <v>7.1999999999999995E-2</v>
      </c>
      <c r="D73" s="4">
        <v>140</v>
      </c>
      <c r="E73" s="4" t="s">
        <v>33</v>
      </c>
      <c r="F73" s="6">
        <v>0.54233333333333333</v>
      </c>
      <c r="G73" s="6">
        <v>0.47700000000000004</v>
      </c>
      <c r="H73" s="6">
        <f>AVERAGE(H70:H72)</f>
        <v>0.45600000000000002</v>
      </c>
      <c r="I73" s="6">
        <f t="shared" ref="I73:K73" si="14">AVERAGE(I70:I72)</f>
        <v>0.43566666666666665</v>
      </c>
      <c r="J73" s="6">
        <f t="shared" si="14"/>
        <v>0.41533333333333333</v>
      </c>
      <c r="K73" s="6">
        <f t="shared" si="14"/>
        <v>0.38666666666666671</v>
      </c>
      <c r="L73" s="4" t="s">
        <v>43</v>
      </c>
      <c r="M73" s="6">
        <f t="shared" si="7"/>
        <v>12.046711739397658</v>
      </c>
      <c r="N73" s="6">
        <f t="shared" si="8"/>
        <v>18.937805730258557</v>
      </c>
      <c r="O73" s="6">
        <f t="shared" si="9"/>
        <v>12.928022361984635</v>
      </c>
      <c r="P73" s="4">
        <f t="shared" si="10"/>
        <v>8.6652690426275427</v>
      </c>
      <c r="Q73" s="4">
        <f t="shared" si="11"/>
        <v>4.4025157232704437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2">
      <c r="A74" s="4" t="s">
        <v>66</v>
      </c>
      <c r="B74" s="5">
        <v>157</v>
      </c>
      <c r="C74" s="5">
        <v>7.1999999999999995E-2</v>
      </c>
      <c r="D74" s="4">
        <v>140</v>
      </c>
      <c r="E74" s="4">
        <v>1</v>
      </c>
      <c r="F74" s="6">
        <v>0.54233333333333333</v>
      </c>
      <c r="G74" s="6">
        <v>0.48099999999999998</v>
      </c>
      <c r="H74" s="6">
        <v>0.46400000000000002</v>
      </c>
      <c r="I74" s="6">
        <v>0.442</v>
      </c>
      <c r="J74" s="6">
        <v>0.40699999999999997</v>
      </c>
      <c r="K74" s="6">
        <v>0.372</v>
      </c>
      <c r="L74" s="4" t="s">
        <v>44</v>
      </c>
      <c r="M74" s="6">
        <f t="shared" si="7"/>
        <v>11.309157959434547</v>
      </c>
      <c r="N74" s="6">
        <f t="shared" si="8"/>
        <v>22.661122661122661</v>
      </c>
      <c r="O74" s="6">
        <f t="shared" si="9"/>
        <v>15.384615384615389</v>
      </c>
      <c r="P74" s="4">
        <f t="shared" si="10"/>
        <v>8.1081081081081052</v>
      </c>
      <c r="Q74" s="4">
        <f t="shared" si="11"/>
        <v>3.5343035343035263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x14ac:dyDescent="0.2">
      <c r="A75" s="4"/>
      <c r="B75" s="5">
        <v>157</v>
      </c>
      <c r="C75" s="5">
        <v>7.1999999999999995E-2</v>
      </c>
      <c r="D75" s="4">
        <v>140</v>
      </c>
      <c r="E75" s="4">
        <v>2</v>
      </c>
      <c r="F75" s="6">
        <v>0.54233333333333333</v>
      </c>
      <c r="G75" s="6">
        <v>0.48199999999999998</v>
      </c>
      <c r="H75" s="6">
        <v>0.46400000000000002</v>
      </c>
      <c r="I75" s="6">
        <v>0.441</v>
      </c>
      <c r="J75" s="6">
        <v>0.40699999999999997</v>
      </c>
      <c r="K75" s="6">
        <v>0.372</v>
      </c>
      <c r="L75" s="4" t="s">
        <v>44</v>
      </c>
      <c r="M75" s="6">
        <f t="shared" si="7"/>
        <v>11.124769514443765</v>
      </c>
      <c r="N75" s="6">
        <f t="shared" si="8"/>
        <v>22.821576763485474</v>
      </c>
      <c r="O75" s="6">
        <f t="shared" si="9"/>
        <v>15.560165975103738</v>
      </c>
      <c r="P75" s="4">
        <f t="shared" si="10"/>
        <v>8.5062240663900379</v>
      </c>
      <c r="Q75" s="4">
        <f t="shared" si="11"/>
        <v>3.7344398340248879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x14ac:dyDescent="0.2">
      <c r="A76" s="4"/>
      <c r="B76" s="5">
        <v>157</v>
      </c>
      <c r="C76" s="5">
        <v>7.1999999999999995E-2</v>
      </c>
      <c r="D76" s="4">
        <v>140</v>
      </c>
      <c r="E76" s="4">
        <v>3</v>
      </c>
      <c r="F76" s="6">
        <v>0.54233333333333333</v>
      </c>
      <c r="G76" s="6">
        <v>0.48199999999999998</v>
      </c>
      <c r="H76" s="6">
        <v>0.46400000000000002</v>
      </c>
      <c r="I76" s="6">
        <v>0.441</v>
      </c>
      <c r="J76" s="6">
        <v>0.40799999999999997</v>
      </c>
      <c r="K76" s="6">
        <v>0.375</v>
      </c>
      <c r="L76" s="4" t="s">
        <v>44</v>
      </c>
      <c r="M76" s="6">
        <f t="shared" si="7"/>
        <v>11.124769514443765</v>
      </c>
      <c r="N76" s="6">
        <f t="shared" si="8"/>
        <v>22.199170124481324</v>
      </c>
      <c r="O76" s="6">
        <f t="shared" si="9"/>
        <v>15.352697095435689</v>
      </c>
      <c r="P76" s="4">
        <f t="shared" si="10"/>
        <v>8.5062240663900379</v>
      </c>
      <c r="Q76" s="4">
        <f t="shared" si="11"/>
        <v>3.7344398340248879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x14ac:dyDescent="0.2">
      <c r="A77" s="4"/>
      <c r="B77" s="5">
        <v>157</v>
      </c>
      <c r="C77" s="5">
        <v>7.1999999999999995E-2</v>
      </c>
      <c r="D77" s="4">
        <v>140</v>
      </c>
      <c r="E77" s="4" t="s">
        <v>33</v>
      </c>
      <c r="F77" s="6">
        <v>0.54233333333333333</v>
      </c>
      <c r="G77" s="6">
        <v>0.48166666666666663</v>
      </c>
      <c r="H77" s="6">
        <f>AVERAGE(H74:H76)</f>
        <v>0.46400000000000002</v>
      </c>
      <c r="I77" s="6">
        <f>AVERAGE(I74:I76)</f>
        <v>0.44133333333333336</v>
      </c>
      <c r="J77" s="6">
        <f>AVERAGE(J74:J76)</f>
        <v>0.40733333333333333</v>
      </c>
      <c r="K77" s="6">
        <f>AVERAGE(K74:K76)</f>
        <v>0.373</v>
      </c>
      <c r="L77" s="4" t="s">
        <v>44</v>
      </c>
      <c r="M77" s="6">
        <f t="shared" si="7"/>
        <v>11.186232329440694</v>
      </c>
      <c r="N77" s="6">
        <f t="shared" si="8"/>
        <v>22.560553633217989</v>
      </c>
      <c r="O77" s="6">
        <f t="shared" si="9"/>
        <v>15.432525951557089</v>
      </c>
      <c r="P77" s="4">
        <f t="shared" si="10"/>
        <v>8.3737024221453176</v>
      </c>
      <c r="Q77" s="4">
        <f t="shared" si="11"/>
        <v>3.6678200692041405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x14ac:dyDescent="0.2">
      <c r="K78" s="3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</sheetData>
  <mergeCells count="1">
    <mergeCell ref="H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ธนพล แสงสุวรรณ</cp:lastModifiedBy>
  <dcterms:created xsi:type="dcterms:W3CDTF">2026-08-09T09:51:11Z</dcterms:created>
  <dcterms:modified xsi:type="dcterms:W3CDTF">2026-09-24T14:33:21Z</dcterms:modified>
</cp:coreProperties>
</file>